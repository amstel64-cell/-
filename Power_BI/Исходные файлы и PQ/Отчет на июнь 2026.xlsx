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AMER\Desktop\"/>
    </mc:Choice>
  </mc:AlternateContent>
  <xr:revisionPtr revIDLastSave="0" documentId="13_ncr:1_{AB63AF5D-EFA3-43E3-AD9B-AA81C057CC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Контракты" sheetId="1" r:id="rId1"/>
    <sheet name="Этапы" sheetId="2" r:id="rId2"/>
    <sheet name="Доп соглашения" sheetId="4" r:id="rId3"/>
    <sheet name="Акты выполненных работ " sheetId="3" r:id="rId4"/>
    <sheet name="Оплата работ " sheetId="5" r:id="rId5"/>
    <sheet name="Исполнение работ План" sheetId="6" r:id="rId6"/>
    <sheet name="Исполнение работ Факт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2" l="1"/>
  <c r="D31" i="5"/>
  <c r="D32" i="5" s="1"/>
  <c r="D28" i="5"/>
  <c r="D29" i="5" s="1"/>
  <c r="D25" i="5"/>
  <c r="D26" i="5" s="1"/>
  <c r="D22" i="5"/>
  <c r="D19" i="5"/>
  <c r="D20" i="5" s="1"/>
  <c r="D16" i="5"/>
  <c r="D17" i="5" s="1"/>
  <c r="D13" i="5"/>
  <c r="D14" i="5" s="1"/>
  <c r="D10" i="5"/>
  <c r="D11" i="5" s="1"/>
  <c r="D7" i="5"/>
  <c r="D8" i="5" s="1"/>
  <c r="D4" i="5"/>
  <c r="E40" i="2"/>
  <c r="E41" i="2"/>
  <c r="E42" i="2"/>
  <c r="E39" i="2"/>
  <c r="E36" i="2"/>
  <c r="E37" i="2"/>
  <c r="E38" i="2"/>
  <c r="E35" i="2"/>
  <c r="E32" i="2"/>
  <c r="E33" i="2"/>
  <c r="E34" i="2"/>
  <c r="E31" i="2"/>
  <c r="E26" i="2"/>
  <c r="E24" i="2"/>
  <c r="E25" i="2"/>
  <c r="E23" i="2"/>
  <c r="E20" i="2"/>
  <c r="E21" i="2"/>
  <c r="E22" i="2"/>
  <c r="E19" i="2"/>
  <c r="E16" i="2"/>
  <c r="E17" i="2"/>
  <c r="E18" i="2"/>
  <c r="E15" i="2"/>
  <c r="E12" i="2"/>
  <c r="E13" i="2"/>
  <c r="E14" i="2"/>
  <c r="E11" i="2"/>
  <c r="E7" i="2"/>
</calcChain>
</file>

<file path=xl/sharedStrings.xml><?xml version="1.0" encoding="utf-8"?>
<sst xmlns="http://schemas.openxmlformats.org/spreadsheetml/2006/main" count="350" uniqueCount="70">
  <si>
    <t xml:space="preserve">Номер контракт </t>
  </si>
  <si>
    <t>Дата контракта</t>
  </si>
  <si>
    <t>Название контракта</t>
  </si>
  <si>
    <t>Начальная максимальная цена контракта</t>
  </si>
  <si>
    <t>Стоимость заключения контракта</t>
  </si>
  <si>
    <t>1/26</t>
  </si>
  <si>
    <t>2/26</t>
  </si>
  <si>
    <t>3/26</t>
  </si>
  <si>
    <t>4/26</t>
  </si>
  <si>
    <t>5/26</t>
  </si>
  <si>
    <t>6/26</t>
  </si>
  <si>
    <t>7/26</t>
  </si>
  <si>
    <t>8/26</t>
  </si>
  <si>
    <t>9/26</t>
  </si>
  <si>
    <t>10/26</t>
  </si>
  <si>
    <t>Поисковые работы и бурение скважины для добычи золота в месте 1</t>
  </si>
  <si>
    <t>Поисковые работы и бурение скважины для добычи алмазов в месте 3</t>
  </si>
  <si>
    <t>Поисковые работы и бурение скважины для добычи золота в месте 4</t>
  </si>
  <si>
    <t>Поисковые работы и бурение скважины для добычи золота в месте 6</t>
  </si>
  <si>
    <t>Поисковые работы и бурение скважины для добычи золота в месте 7</t>
  </si>
  <si>
    <t>Поисковые работы и бурение скважины для добычи золота в месте 8</t>
  </si>
  <si>
    <t>Поисковые работы и бурение скважины для добычи алмазов в месте 10</t>
  </si>
  <si>
    <t xml:space="preserve">  Поисковые работы и бурение скважины для добычи золота в месте 2</t>
  </si>
  <si>
    <t xml:space="preserve">  Поисковые работы и бурение скважины для добычи золота в месте 5</t>
  </si>
  <si>
    <t xml:space="preserve">   Поисковые работы и бурение скважины для добычи золота в месте 9</t>
  </si>
  <si>
    <t>ООО ЗОЛОТО</t>
  </si>
  <si>
    <t>ООО БРИЛИАНТЫ</t>
  </si>
  <si>
    <t>ООО ДОБЫЧА</t>
  </si>
  <si>
    <t>ГК ГЕОЛОГИЯ</t>
  </si>
  <si>
    <t>ООО БУРИМ</t>
  </si>
  <si>
    <t>Подрядчик заключивший контракт</t>
  </si>
  <si>
    <t>Номер этапа</t>
  </si>
  <si>
    <t>Плановая дата начала</t>
  </si>
  <si>
    <t>Плановая дата окончания</t>
  </si>
  <si>
    <t>Стоимость этапа</t>
  </si>
  <si>
    <t>Дата акта</t>
  </si>
  <si>
    <t>Номер акта</t>
  </si>
  <si>
    <t>Общая сумма акта</t>
  </si>
  <si>
    <t>Сумма по субподрядчику</t>
  </si>
  <si>
    <t>Наименование субподрядчика</t>
  </si>
  <si>
    <t>ООО ПОМОГАЕМ</t>
  </si>
  <si>
    <t>ООО ДОБЫВАЕМ</t>
  </si>
  <si>
    <t>ООО КОПАЕМ</t>
  </si>
  <si>
    <t>ООО ПРОЕКТИРУЕМ</t>
  </si>
  <si>
    <t>ООО ПАРТНТЕР</t>
  </si>
  <si>
    <t>Принят аванс из общей суммы</t>
  </si>
  <si>
    <t>Дата соглашения</t>
  </si>
  <si>
    <t>Номер соглашения</t>
  </si>
  <si>
    <t>Краткое содержание</t>
  </si>
  <si>
    <t>Изменение стоимости</t>
  </si>
  <si>
    <t>Уточнение реквизитов</t>
  </si>
  <si>
    <t>Уменьшение стоимости работ</t>
  </si>
  <si>
    <t>Перенос между этапами стоимости работ</t>
  </si>
  <si>
    <t>Номер контракта</t>
  </si>
  <si>
    <t>Дата платежа</t>
  </si>
  <si>
    <t>Сумма оплаты</t>
  </si>
  <si>
    <t>Тип оплаты</t>
  </si>
  <si>
    <t>номер платежного поручения</t>
  </si>
  <si>
    <t>Аванс</t>
  </si>
  <si>
    <t>работы</t>
  </si>
  <si>
    <t>номер контракта</t>
  </si>
  <si>
    <t>бурение, м</t>
  </si>
  <si>
    <t>Дата</t>
  </si>
  <si>
    <t>Бурение, м</t>
  </si>
  <si>
    <t>Минимальная предложенная цена</t>
  </si>
  <si>
    <t>Контракты с СМП для крупных заказов</t>
  </si>
  <si>
    <t>Вид закупки</t>
  </si>
  <si>
    <t>Электронный конкурс</t>
  </si>
  <si>
    <t>Единственный поставщик</t>
  </si>
  <si>
    <t>Количество участников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</si>
</sst>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4">
    <xf numFmtId="0" fontId="0" fillId="0" borderId="0" xfId="0"/>
    <xf numFmtId="49" fontId="0" fillId="0" borderId="0" xfId="0" applyNumberFormat="1"/>
    <xf numFmtId="14" fontId="0" fillId="0" borderId="1" xfId="0" applyNumberFormat="1" applyBorder="1" applyAlignment="1">
      <alignment horizontal="center" vertical="center"/>
    </xf>
    <xf numFmtId="49" fontId="0" fillId="0" borderId="1" xfId="0" applyNumberFormat="1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/>
    <xf numFmtId="0" fontId="0" fillId="0" borderId="0" xfId="0"/>
    <xf numFmtId="0" fontId="0" fillId="0" borderId="1" xfId="0" applyBorder="1"/>
    <xf numFmtId="164" fontId="0" fillId="0" borderId="1" xfId="1" applyFont="1" applyBorder="1"/>
    <xf numFmtId="0" fontId="0" fillId="0" borderId="2" xfId="0" applyBorder="1"/>
    <xf numFmtId="0" fontId="0" fillId="0" borderId="1" xfId="0" applyFill="1" applyBorder="1"/>
    <xf numFmtId="164" fontId="0" fillId="0" borderId="1" xfId="1" applyFont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/>
    </xf>
    <xf numFmtId="164" fontId="2" fillId="2" borderId="1" xfId="1" applyFont="1" applyFill="1" applyBorder="1"/>
    <xf numFmtId="49" fontId="0" fillId="0" borderId="2" xfId="0" applyNumberFormat="1" applyBorder="1"/>
    <xf numFmtId="14" fontId="0" fillId="0" borderId="2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0" xfId="0"/>
    <xf numFmtId="0" fontId="0" fillId="0" borderId="0" xfId="0" applyFill="1" applyBorder="1"/>
    <xf numFmtId="0" fontId="0" fillId="0" borderId="0" xfId="0" applyFill="1"/>
    <xf numFmtId="49" fontId="0" fillId="0" borderId="0" xfId="0" applyNumberFormat="1" applyFill="1"/>
    <xf numFmtId="0" fontId="0" fillId="0" borderId="0" xfId="0"/>
    <xf numFmtId="0" fontId="0" fillId="0" borderId="0" xfId="0"/>
    <xf numFmtId="0" fontId="0" fillId="0" borderId="1" xfId="0" applyBorder="1"/>
    <xf numFmtId="164" fontId="0" fillId="0" borderId="1" xfId="0" applyNumberFormat="1" applyFill="1" applyBorder="1"/>
    <xf numFmtId="0" fontId="0" fillId="0" borderId="0" xfId="0"/>
    <xf numFmtId="0" fontId="0" fillId="0" borderId="1" xfId="0" applyBorder="1"/>
    <xf numFmtId="14" fontId="0" fillId="0" borderId="1" xfId="0" applyNumberFormat="1" applyFill="1" applyBorder="1"/>
    <xf numFmtId="1" fontId="0" fillId="0" borderId="1" xfId="0" applyNumberFormat="1" applyFill="1" applyBorder="1"/>
    <xf numFmtId="0" fontId="0" fillId="0" borderId="4" xfId="0" applyBorder="1"/>
    <xf numFmtId="0" fontId="0" fillId="0" borderId="3" xfId="0" applyBorder="1"/>
    <xf numFmtId="0" fontId="0" fillId="0" borderId="1" xfId="0" applyFill="1" applyBorder="1"/>
    <xf numFmtId="0" fontId="0" fillId="0" borderId="1" xfId="0" applyFill="1" applyBorder="1"/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14" fontId="0" fillId="0" borderId="1" xfId="0" applyNumberFormat="1" applyBorder="1"/>
    <xf numFmtId="164" fontId="0" fillId="0" borderId="1" xfId="0" applyNumberFormat="1" applyBorder="1"/>
    <xf numFmtId="0" fontId="0" fillId="0" borderId="1" xfId="0" applyFill="1" applyBorder="1"/>
    <xf numFmtId="0" fontId="0" fillId="0" borderId="1" xfId="0" quotePrefix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14" fontId="0" fillId="0" borderId="5" xfId="0" applyNumberFormat="1" applyBorder="1"/>
    <xf numFmtId="14" fontId="0" fillId="0" borderId="10" xfId="0" applyNumberFormat="1" applyBorder="1"/>
    <xf numFmtId="0" fontId="0" fillId="0" borderId="0" xfId="0" applyBorder="1"/>
    <xf numFmtId="0" fontId="0" fillId="0" borderId="1" xfId="0" applyFill="1" applyBorder="1" applyAlignment="1">
      <alignment wrapText="1"/>
    </xf>
    <xf numFmtId="0" fontId="0" fillId="0" borderId="12" xfId="0" applyBorder="1" applyAlignment="1">
      <alignment horizontal="center" vertical="center" wrapText="1"/>
    </xf>
    <xf numFmtId="1" fontId="0" fillId="0" borderId="0" xfId="0" applyNumberFormat="1"/>
    <xf numFmtId="0" fontId="0" fillId="0" borderId="1" xfId="0" applyFill="1" applyBorder="1" applyAlignment="1">
      <alignment horizontal="center" vertical="center" wrapText="1"/>
    </xf>
    <xf numFmtId="164" fontId="0" fillId="0" borderId="0" xfId="0" applyNumberFormat="1"/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J13"/>
  <sheetViews>
    <sheetView tabSelected="1" topLeftCell="D1" workbookViewId="0">
      <selection activeCell="L8" sqref="L8"/>
    </sheetView>
  </sheetViews>
  <sheetFormatPr defaultRowHeight="15" x14ac:dyDescent="0.25"/>
  <cols>
    <col min="1" max="1" width="16.28515625" bestFit="1" customWidth="1"/>
    <col min="2" max="2" width="15" bestFit="1" customWidth="1"/>
    <col min="3" max="3" width="69" customWidth="1"/>
    <col min="4" max="4" width="19.140625" customWidth="1"/>
    <col min="5" max="5" width="30.140625" customWidth="1"/>
    <col min="6" max="8" width="30.140625" style="34" customWidth="1"/>
    <col min="9" max="9" width="21.140625" style="6" customWidth="1"/>
  </cols>
  <sheetData>
    <row r="2" spans="1:10" ht="75" x14ac:dyDescent="0.25">
      <c r="A2" s="4" t="s">
        <v>0</v>
      </c>
      <c r="B2" s="4" t="s">
        <v>1</v>
      </c>
      <c r="C2" s="4" t="s">
        <v>2</v>
      </c>
      <c r="D2" s="5" t="s">
        <v>3</v>
      </c>
      <c r="E2" s="5" t="s">
        <v>4</v>
      </c>
      <c r="F2" s="5" t="s">
        <v>66</v>
      </c>
      <c r="G2" s="5" t="s">
        <v>69</v>
      </c>
      <c r="H2" s="5" t="s">
        <v>30</v>
      </c>
      <c r="I2" s="5" t="s">
        <v>64</v>
      </c>
      <c r="J2" s="50" t="s">
        <v>65</v>
      </c>
    </row>
    <row r="3" spans="1:10" x14ac:dyDescent="0.25">
      <c r="A3" s="3" t="s">
        <v>5</v>
      </c>
      <c r="B3" s="2">
        <v>46034</v>
      </c>
      <c r="C3" s="36" t="s">
        <v>15</v>
      </c>
      <c r="D3" s="9">
        <v>5000000</v>
      </c>
      <c r="E3" s="9">
        <v>4500000</v>
      </c>
      <c r="F3" s="9" t="s">
        <v>67</v>
      </c>
      <c r="G3" s="9">
        <v>3</v>
      </c>
      <c r="H3" s="35" t="s">
        <v>25</v>
      </c>
      <c r="I3" s="9">
        <v>4450000</v>
      </c>
      <c r="J3" s="51">
        <v>0</v>
      </c>
    </row>
    <row r="4" spans="1:10" x14ac:dyDescent="0.25">
      <c r="A4" s="3" t="s">
        <v>6</v>
      </c>
      <c r="B4" s="2">
        <v>46035</v>
      </c>
      <c r="C4" s="36" t="s">
        <v>22</v>
      </c>
      <c r="D4" s="9">
        <v>10000000</v>
      </c>
      <c r="E4" s="9">
        <v>9000000</v>
      </c>
      <c r="F4" s="9" t="s">
        <v>67</v>
      </c>
      <c r="G4" s="9">
        <v>2</v>
      </c>
      <c r="H4" s="35" t="s">
        <v>25</v>
      </c>
      <c r="I4" s="9">
        <v>9000000</v>
      </c>
      <c r="J4" s="34">
        <v>1</v>
      </c>
    </row>
    <row r="5" spans="1:10" x14ac:dyDescent="0.25">
      <c r="A5" s="3" t="s">
        <v>7</v>
      </c>
      <c r="B5" s="2">
        <v>46036</v>
      </c>
      <c r="C5" s="36" t="s">
        <v>16</v>
      </c>
      <c r="D5" s="9">
        <v>12000000</v>
      </c>
      <c r="E5" s="9">
        <v>11200000</v>
      </c>
      <c r="F5" s="9" t="s">
        <v>67</v>
      </c>
      <c r="G5" s="9">
        <v>2</v>
      </c>
      <c r="H5" s="35" t="s">
        <v>26</v>
      </c>
      <c r="I5" s="9">
        <v>11200000</v>
      </c>
      <c r="J5" s="34">
        <v>1</v>
      </c>
    </row>
    <row r="6" spans="1:10" x14ac:dyDescent="0.25">
      <c r="A6" s="13" t="s">
        <v>8</v>
      </c>
      <c r="B6" s="2">
        <v>46037</v>
      </c>
      <c r="C6" s="5" t="s">
        <v>17</v>
      </c>
      <c r="D6" s="12">
        <v>4000000</v>
      </c>
      <c r="E6" s="12">
        <v>4000000</v>
      </c>
      <c r="F6" s="9" t="s">
        <v>67</v>
      </c>
      <c r="G6" s="9">
        <v>6</v>
      </c>
      <c r="H6" s="35" t="s">
        <v>27</v>
      </c>
      <c r="I6" s="12">
        <v>4000000</v>
      </c>
      <c r="J6" s="51">
        <v>0</v>
      </c>
    </row>
    <row r="7" spans="1:10" x14ac:dyDescent="0.25">
      <c r="A7" s="3" t="s">
        <v>9</v>
      </c>
      <c r="B7" s="2">
        <v>46038</v>
      </c>
      <c r="C7" s="36" t="s">
        <v>23</v>
      </c>
      <c r="D7" s="9">
        <v>5000000</v>
      </c>
      <c r="E7" s="9">
        <v>5000000</v>
      </c>
      <c r="F7" s="9" t="s">
        <v>68</v>
      </c>
      <c r="G7" s="9">
        <v>1</v>
      </c>
      <c r="H7" s="35" t="s">
        <v>28</v>
      </c>
      <c r="I7" s="9">
        <v>5000000</v>
      </c>
      <c r="J7" s="34">
        <v>1</v>
      </c>
    </row>
    <row r="8" spans="1:10" x14ac:dyDescent="0.25">
      <c r="A8" s="3" t="s">
        <v>10</v>
      </c>
      <c r="B8" s="2">
        <v>46039</v>
      </c>
      <c r="C8" s="36" t="s">
        <v>18</v>
      </c>
      <c r="D8" s="9">
        <v>20000000</v>
      </c>
      <c r="E8" s="9">
        <v>19500000</v>
      </c>
      <c r="F8" s="9" t="s">
        <v>67</v>
      </c>
      <c r="G8" s="9">
        <v>2</v>
      </c>
      <c r="H8" s="35" t="s">
        <v>28</v>
      </c>
      <c r="I8" s="9">
        <v>19500000</v>
      </c>
      <c r="J8" s="34">
        <v>1</v>
      </c>
    </row>
    <row r="9" spans="1:10" x14ac:dyDescent="0.25">
      <c r="A9" s="3" t="s">
        <v>11</v>
      </c>
      <c r="B9" s="2">
        <v>46040</v>
      </c>
      <c r="C9" s="36" t="s">
        <v>19</v>
      </c>
      <c r="D9" s="14">
        <v>6800000</v>
      </c>
      <c r="E9" s="9">
        <v>6800000</v>
      </c>
      <c r="F9" s="9" t="s">
        <v>68</v>
      </c>
      <c r="G9" s="9">
        <v>1</v>
      </c>
      <c r="H9" s="35" t="s">
        <v>28</v>
      </c>
      <c r="I9" s="9">
        <v>6800000</v>
      </c>
      <c r="J9" s="34">
        <v>1</v>
      </c>
    </row>
    <row r="10" spans="1:10" x14ac:dyDescent="0.25">
      <c r="A10" s="3" t="s">
        <v>12</v>
      </c>
      <c r="B10" s="2">
        <v>46041</v>
      </c>
      <c r="C10" s="36" t="s">
        <v>20</v>
      </c>
      <c r="D10" s="9">
        <v>9000000</v>
      </c>
      <c r="E10" s="9">
        <v>8600000</v>
      </c>
      <c r="F10" s="9" t="s">
        <v>67</v>
      </c>
      <c r="G10" s="9">
        <v>3</v>
      </c>
      <c r="H10" s="35" t="s">
        <v>25</v>
      </c>
      <c r="I10" s="9">
        <v>8600000</v>
      </c>
      <c r="J10" s="34">
        <v>1</v>
      </c>
    </row>
    <row r="11" spans="1:10" x14ac:dyDescent="0.25">
      <c r="A11" s="3" t="s">
        <v>13</v>
      </c>
      <c r="B11" s="2">
        <v>46042</v>
      </c>
      <c r="C11" s="36" t="s">
        <v>24</v>
      </c>
      <c r="D11" s="9">
        <v>6500000</v>
      </c>
      <c r="E11" s="9">
        <v>6000000</v>
      </c>
      <c r="F11" s="9" t="s">
        <v>67</v>
      </c>
      <c r="G11" s="9">
        <v>4</v>
      </c>
      <c r="H11" s="35" t="s">
        <v>29</v>
      </c>
      <c r="I11" s="9">
        <v>6000000</v>
      </c>
      <c r="J11" s="51">
        <v>0</v>
      </c>
    </row>
    <row r="12" spans="1:10" x14ac:dyDescent="0.25">
      <c r="A12" s="3" t="s">
        <v>14</v>
      </c>
      <c r="B12" s="2">
        <v>46043</v>
      </c>
      <c r="C12" s="36" t="s">
        <v>21</v>
      </c>
      <c r="D12" s="9">
        <v>15000000</v>
      </c>
      <c r="E12" s="9">
        <v>15000000</v>
      </c>
      <c r="F12" s="9" t="s">
        <v>68</v>
      </c>
      <c r="G12" s="9">
        <v>1</v>
      </c>
      <c r="H12" s="35" t="s">
        <v>28</v>
      </c>
      <c r="I12" s="9">
        <v>15000000</v>
      </c>
      <c r="J12" s="34">
        <v>1</v>
      </c>
    </row>
    <row r="13" spans="1:10" x14ac:dyDescent="0.25">
      <c r="A13" s="1"/>
    </row>
  </sheetData>
  <pageMargins left="0.7" right="0.7" top="0.75" bottom="0.75" header="0.3" footer="0.3"/>
  <pageSetup paperSize="9" orientation="portrait" r:id="rId1"/>
  <ignoredErrors>
    <ignoredError sqref="A3 A4:A7 A14" twoDigitTextYea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42"/>
  <sheetViews>
    <sheetView workbookViewId="0">
      <selection activeCell="E11" sqref="E11"/>
    </sheetView>
  </sheetViews>
  <sheetFormatPr defaultRowHeight="15" x14ac:dyDescent="0.25"/>
  <cols>
    <col min="1" max="1" width="16.28515625" bestFit="1" customWidth="1"/>
    <col min="2" max="2" width="14.42578125" customWidth="1"/>
    <col min="3" max="3" width="25.5703125" customWidth="1"/>
    <col min="4" max="4" width="26.7109375" customWidth="1"/>
    <col min="5" max="5" width="26.42578125" customWidth="1"/>
    <col min="6" max="6" width="13.140625" bestFit="1" customWidth="1"/>
  </cols>
  <sheetData>
    <row r="2" spans="1:6" ht="53.25" customHeight="1" x14ac:dyDescent="0.25">
      <c r="A2" s="5" t="s">
        <v>0</v>
      </c>
      <c r="B2" s="5" t="s">
        <v>31</v>
      </c>
      <c r="C2" s="5" t="s">
        <v>32</v>
      </c>
      <c r="D2" s="5" t="s">
        <v>33</v>
      </c>
      <c r="E2" s="52" t="s">
        <v>34</v>
      </c>
    </row>
    <row r="3" spans="1:6" x14ac:dyDescent="0.25">
      <c r="A3" s="15" t="s">
        <v>5</v>
      </c>
      <c r="B3" s="10">
        <v>1</v>
      </c>
      <c r="C3" s="16">
        <v>46034</v>
      </c>
      <c r="D3" s="16">
        <v>46112</v>
      </c>
      <c r="E3" s="38">
        <v>1125000</v>
      </c>
    </row>
    <row r="4" spans="1:6" s="7" customFormat="1" x14ac:dyDescent="0.25">
      <c r="A4" s="3" t="s">
        <v>5</v>
      </c>
      <c r="B4" s="8">
        <v>2</v>
      </c>
      <c r="C4" s="2">
        <v>46113</v>
      </c>
      <c r="D4" s="2">
        <v>46203</v>
      </c>
      <c r="E4" s="38">
        <v>1125000</v>
      </c>
    </row>
    <row r="5" spans="1:6" s="7" customFormat="1" x14ac:dyDescent="0.25">
      <c r="A5" s="3" t="s">
        <v>5</v>
      </c>
      <c r="B5" s="8">
        <v>3</v>
      </c>
      <c r="C5" s="2">
        <v>46204</v>
      </c>
      <c r="D5" s="2">
        <v>46295</v>
      </c>
      <c r="E5" s="38">
        <v>1000000</v>
      </c>
    </row>
    <row r="6" spans="1:6" s="7" customFormat="1" x14ac:dyDescent="0.25">
      <c r="A6" s="3" t="s">
        <v>5</v>
      </c>
      <c r="B6" s="11">
        <v>4</v>
      </c>
      <c r="C6" s="2">
        <v>46296</v>
      </c>
      <c r="D6" s="2">
        <v>46371</v>
      </c>
      <c r="E6" s="38">
        <v>750000</v>
      </c>
    </row>
    <row r="7" spans="1:6" x14ac:dyDescent="0.25">
      <c r="A7" s="3" t="s">
        <v>6</v>
      </c>
      <c r="B7" s="8">
        <v>1</v>
      </c>
      <c r="C7" s="2">
        <v>46035</v>
      </c>
      <c r="D7" s="2">
        <v>46112</v>
      </c>
      <c r="E7" s="17">
        <f>Контракты!$E$4/4</f>
        <v>2250000</v>
      </c>
    </row>
    <row r="8" spans="1:6" s="7" customFormat="1" x14ac:dyDescent="0.25">
      <c r="A8" s="3" t="s">
        <v>6</v>
      </c>
      <c r="B8" s="8">
        <v>2</v>
      </c>
      <c r="C8" s="2">
        <v>46113</v>
      </c>
      <c r="D8" s="2">
        <v>46203</v>
      </c>
      <c r="E8" s="17">
        <f>Контракты!$E$4/4</f>
        <v>2250000</v>
      </c>
      <c r="F8" s="53"/>
    </row>
    <row r="9" spans="1:6" s="7" customFormat="1" x14ac:dyDescent="0.25">
      <c r="A9" s="3" t="s">
        <v>6</v>
      </c>
      <c r="B9" s="8">
        <v>3</v>
      </c>
      <c r="C9" s="2">
        <v>46204</v>
      </c>
      <c r="D9" s="2">
        <v>46295</v>
      </c>
      <c r="E9" s="17">
        <v>2500000</v>
      </c>
    </row>
    <row r="10" spans="1:6" s="7" customFormat="1" x14ac:dyDescent="0.25">
      <c r="A10" s="3" t="s">
        <v>6</v>
      </c>
      <c r="B10" s="11">
        <v>4</v>
      </c>
      <c r="C10" s="2">
        <v>46296</v>
      </c>
      <c r="D10" s="2">
        <v>46371</v>
      </c>
      <c r="E10" s="17">
        <v>2000000</v>
      </c>
    </row>
    <row r="11" spans="1:6" x14ac:dyDescent="0.25">
      <c r="A11" s="3" t="s">
        <v>7</v>
      </c>
      <c r="B11" s="8">
        <v>1</v>
      </c>
      <c r="C11" s="2">
        <v>46036</v>
      </c>
      <c r="D11" s="2">
        <v>46112</v>
      </c>
      <c r="E11" s="17">
        <f>Контракты!$E$5/4</f>
        <v>2800000</v>
      </c>
    </row>
    <row r="12" spans="1:6" s="7" customFormat="1" x14ac:dyDescent="0.25">
      <c r="A12" s="3" t="s">
        <v>7</v>
      </c>
      <c r="B12" s="8">
        <v>2</v>
      </c>
      <c r="C12" s="2">
        <v>46113</v>
      </c>
      <c r="D12" s="2">
        <v>46203</v>
      </c>
      <c r="E12" s="17">
        <f>Контракты!$E$5/4</f>
        <v>2800000</v>
      </c>
    </row>
    <row r="13" spans="1:6" s="7" customFormat="1" x14ac:dyDescent="0.25">
      <c r="A13" s="3" t="s">
        <v>7</v>
      </c>
      <c r="B13" s="8">
        <v>3</v>
      </c>
      <c r="C13" s="2">
        <v>46204</v>
      </c>
      <c r="D13" s="2">
        <v>46295</v>
      </c>
      <c r="E13" s="17">
        <f>Контракты!$E$5/4</f>
        <v>2800000</v>
      </c>
    </row>
    <row r="14" spans="1:6" s="7" customFormat="1" x14ac:dyDescent="0.25">
      <c r="A14" s="3" t="s">
        <v>7</v>
      </c>
      <c r="B14" s="11">
        <v>4</v>
      </c>
      <c r="C14" s="2">
        <v>46296</v>
      </c>
      <c r="D14" s="2">
        <v>46371</v>
      </c>
      <c r="E14" s="17">
        <f>Контракты!$E$5/4</f>
        <v>2800000</v>
      </c>
    </row>
    <row r="15" spans="1:6" s="7" customFormat="1" x14ac:dyDescent="0.25">
      <c r="A15" s="13" t="s">
        <v>8</v>
      </c>
      <c r="B15" s="8">
        <v>1</v>
      </c>
      <c r="C15" s="2">
        <v>46037</v>
      </c>
      <c r="D15" s="2">
        <v>46112</v>
      </c>
      <c r="E15" s="17">
        <f>Контракты!$E$6/4</f>
        <v>1000000</v>
      </c>
    </row>
    <row r="16" spans="1:6" s="7" customFormat="1" x14ac:dyDescent="0.25">
      <c r="A16" s="13" t="s">
        <v>8</v>
      </c>
      <c r="B16" s="8">
        <v>2</v>
      </c>
      <c r="C16" s="2">
        <v>46113</v>
      </c>
      <c r="D16" s="2">
        <v>46203</v>
      </c>
      <c r="E16" s="17">
        <f>Контракты!$E$6/4</f>
        <v>1000000</v>
      </c>
    </row>
    <row r="17" spans="1:5" s="7" customFormat="1" x14ac:dyDescent="0.25">
      <c r="A17" s="13" t="s">
        <v>8</v>
      </c>
      <c r="B17" s="8">
        <v>3</v>
      </c>
      <c r="C17" s="2">
        <v>46204</v>
      </c>
      <c r="D17" s="2">
        <v>46295</v>
      </c>
      <c r="E17" s="17">
        <f>Контракты!$E$6/4</f>
        <v>1000000</v>
      </c>
    </row>
    <row r="18" spans="1:5" x14ac:dyDescent="0.25">
      <c r="A18" s="13" t="s">
        <v>8</v>
      </c>
      <c r="B18" s="11">
        <v>4</v>
      </c>
      <c r="C18" s="2">
        <v>46296</v>
      </c>
      <c r="D18" s="2">
        <v>46371</v>
      </c>
      <c r="E18" s="17">
        <f>Контракты!$E$6/4</f>
        <v>1000000</v>
      </c>
    </row>
    <row r="19" spans="1:5" s="7" customFormat="1" x14ac:dyDescent="0.25">
      <c r="A19" s="3" t="s">
        <v>9</v>
      </c>
      <c r="B19" s="8">
        <v>1</v>
      </c>
      <c r="C19" s="2">
        <v>46038</v>
      </c>
      <c r="D19" s="2">
        <v>46112</v>
      </c>
      <c r="E19" s="17">
        <f>Контракты!$E$7/4</f>
        <v>1250000</v>
      </c>
    </row>
    <row r="20" spans="1:5" s="7" customFormat="1" x14ac:dyDescent="0.25">
      <c r="A20" s="3" t="s">
        <v>9</v>
      </c>
      <c r="B20" s="8">
        <v>2</v>
      </c>
      <c r="C20" s="2">
        <v>46113</v>
      </c>
      <c r="D20" s="2">
        <v>46203</v>
      </c>
      <c r="E20" s="17">
        <f>Контракты!$E$7/4</f>
        <v>1250000</v>
      </c>
    </row>
    <row r="21" spans="1:5" s="7" customFormat="1" x14ac:dyDescent="0.25">
      <c r="A21" s="3" t="s">
        <v>9</v>
      </c>
      <c r="B21" s="8">
        <v>3</v>
      </c>
      <c r="C21" s="2">
        <v>46204</v>
      </c>
      <c r="D21" s="2">
        <v>46295</v>
      </c>
      <c r="E21" s="17">
        <f>Контракты!$E$7/4</f>
        <v>1250000</v>
      </c>
    </row>
    <row r="22" spans="1:5" x14ac:dyDescent="0.25">
      <c r="A22" s="3" t="s">
        <v>9</v>
      </c>
      <c r="B22" s="11">
        <v>4</v>
      </c>
      <c r="C22" s="2">
        <v>46296</v>
      </c>
      <c r="D22" s="2">
        <v>46371</v>
      </c>
      <c r="E22" s="17">
        <f>Контракты!$E$7/4</f>
        <v>1250000</v>
      </c>
    </row>
    <row r="23" spans="1:5" s="7" customFormat="1" x14ac:dyDescent="0.25">
      <c r="A23" s="3" t="s">
        <v>10</v>
      </c>
      <c r="B23" s="8">
        <v>1</v>
      </c>
      <c r="C23" s="2">
        <v>46039</v>
      </c>
      <c r="D23" s="2">
        <v>46112</v>
      </c>
      <c r="E23" s="17">
        <f>Контракты!$E$8/4</f>
        <v>4875000</v>
      </c>
    </row>
    <row r="24" spans="1:5" s="7" customFormat="1" x14ac:dyDescent="0.25">
      <c r="A24" s="3" t="s">
        <v>10</v>
      </c>
      <c r="B24" s="8">
        <v>2</v>
      </c>
      <c r="C24" s="2">
        <v>46113</v>
      </c>
      <c r="D24" s="2">
        <v>46203</v>
      </c>
      <c r="E24" s="17">
        <f>Контракты!$E$8/4</f>
        <v>4875000</v>
      </c>
    </row>
    <row r="25" spans="1:5" s="7" customFormat="1" x14ac:dyDescent="0.25">
      <c r="A25" s="3" t="s">
        <v>10</v>
      </c>
      <c r="B25" s="8">
        <v>3</v>
      </c>
      <c r="C25" s="2">
        <v>46204</v>
      </c>
      <c r="D25" s="2">
        <v>46295</v>
      </c>
      <c r="E25" s="17">
        <f>Контракты!$E$8/4</f>
        <v>4875000</v>
      </c>
    </row>
    <row r="26" spans="1:5" x14ac:dyDescent="0.25">
      <c r="A26" s="3" t="s">
        <v>10</v>
      </c>
      <c r="B26" s="11">
        <v>4</v>
      </c>
      <c r="C26" s="2">
        <v>46296</v>
      </c>
      <c r="D26" s="2">
        <v>46371</v>
      </c>
      <c r="E26" s="17">
        <f>Контракты!$E$8/4</f>
        <v>4875000</v>
      </c>
    </row>
    <row r="27" spans="1:5" s="7" customFormat="1" x14ac:dyDescent="0.25">
      <c r="A27" s="3" t="s">
        <v>11</v>
      </c>
      <c r="B27" s="8">
        <v>1</v>
      </c>
      <c r="C27" s="2">
        <v>46040</v>
      </c>
      <c r="D27" s="2">
        <v>46112</v>
      </c>
      <c r="E27" s="17">
        <v>1700000</v>
      </c>
    </row>
    <row r="28" spans="1:5" s="7" customFormat="1" x14ac:dyDescent="0.25">
      <c r="A28" s="3" t="s">
        <v>11</v>
      </c>
      <c r="B28" s="8">
        <v>2</v>
      </c>
      <c r="C28" s="2">
        <v>46113</v>
      </c>
      <c r="D28" s="2">
        <v>46203</v>
      </c>
      <c r="E28" s="17">
        <v>1600000</v>
      </c>
    </row>
    <row r="29" spans="1:5" s="7" customFormat="1" x14ac:dyDescent="0.25">
      <c r="A29" s="3" t="s">
        <v>11</v>
      </c>
      <c r="B29" s="8">
        <v>3</v>
      </c>
      <c r="C29" s="2">
        <v>46204</v>
      </c>
      <c r="D29" s="2">
        <v>46295</v>
      </c>
      <c r="E29" s="17">
        <v>1600000</v>
      </c>
    </row>
    <row r="30" spans="1:5" x14ac:dyDescent="0.25">
      <c r="A30" s="3" t="s">
        <v>11</v>
      </c>
      <c r="B30" s="11">
        <v>4</v>
      </c>
      <c r="C30" s="2">
        <v>46296</v>
      </c>
      <c r="D30" s="2">
        <v>46371</v>
      </c>
      <c r="E30" s="17">
        <v>1500000</v>
      </c>
    </row>
    <row r="31" spans="1:5" s="7" customFormat="1" x14ac:dyDescent="0.25">
      <c r="A31" s="3" t="s">
        <v>12</v>
      </c>
      <c r="B31" s="8">
        <v>1</v>
      </c>
      <c r="C31" s="2">
        <v>46041</v>
      </c>
      <c r="D31" s="2">
        <v>46112</v>
      </c>
      <c r="E31" s="17">
        <f>Контракты!$E$10/4</f>
        <v>2150000</v>
      </c>
    </row>
    <row r="32" spans="1:5" s="7" customFormat="1" x14ac:dyDescent="0.25">
      <c r="A32" s="3" t="s">
        <v>12</v>
      </c>
      <c r="B32" s="8">
        <v>2</v>
      </c>
      <c r="C32" s="2">
        <v>46113</v>
      </c>
      <c r="D32" s="2">
        <v>46203</v>
      </c>
      <c r="E32" s="17">
        <f>Контракты!$E$10/4</f>
        <v>2150000</v>
      </c>
    </row>
    <row r="33" spans="1:5" s="7" customFormat="1" x14ac:dyDescent="0.25">
      <c r="A33" s="3" t="s">
        <v>12</v>
      </c>
      <c r="B33" s="8">
        <v>3</v>
      </c>
      <c r="C33" s="2">
        <v>46204</v>
      </c>
      <c r="D33" s="2">
        <v>46295</v>
      </c>
      <c r="E33" s="17">
        <f>Контракты!$E$10/4</f>
        <v>2150000</v>
      </c>
    </row>
    <row r="34" spans="1:5" x14ac:dyDescent="0.25">
      <c r="A34" s="3" t="s">
        <v>12</v>
      </c>
      <c r="B34" s="11">
        <v>4</v>
      </c>
      <c r="C34" s="2">
        <v>46296</v>
      </c>
      <c r="D34" s="2">
        <v>46371</v>
      </c>
      <c r="E34" s="17">
        <f>Контракты!$E$10/4</f>
        <v>2150000</v>
      </c>
    </row>
    <row r="35" spans="1:5" s="7" customFormat="1" x14ac:dyDescent="0.25">
      <c r="A35" s="3" t="s">
        <v>13</v>
      </c>
      <c r="B35" s="8">
        <v>1</v>
      </c>
      <c r="C35" s="2">
        <v>46042</v>
      </c>
      <c r="D35" s="2">
        <v>46112</v>
      </c>
      <c r="E35" s="17">
        <f>Контракты!$E$11/4</f>
        <v>1500000</v>
      </c>
    </row>
    <row r="36" spans="1:5" s="7" customFormat="1" x14ac:dyDescent="0.25">
      <c r="A36" s="3" t="s">
        <v>13</v>
      </c>
      <c r="B36" s="8">
        <v>2</v>
      </c>
      <c r="C36" s="2">
        <v>46113</v>
      </c>
      <c r="D36" s="2">
        <v>46203</v>
      </c>
      <c r="E36" s="17">
        <f>Контракты!$E$11/4</f>
        <v>1500000</v>
      </c>
    </row>
    <row r="37" spans="1:5" s="7" customFormat="1" x14ac:dyDescent="0.25">
      <c r="A37" s="3" t="s">
        <v>13</v>
      </c>
      <c r="B37" s="8">
        <v>3</v>
      </c>
      <c r="C37" s="2">
        <v>46204</v>
      </c>
      <c r="D37" s="2">
        <v>46295</v>
      </c>
      <c r="E37" s="17">
        <f>Контракты!$E$11/4</f>
        <v>1500000</v>
      </c>
    </row>
    <row r="38" spans="1:5" x14ac:dyDescent="0.25">
      <c r="A38" s="3" t="s">
        <v>13</v>
      </c>
      <c r="B38" s="11">
        <v>4</v>
      </c>
      <c r="C38" s="2">
        <v>46296</v>
      </c>
      <c r="D38" s="2">
        <v>46371</v>
      </c>
      <c r="E38" s="17">
        <f>Контракты!$E$11/4</f>
        <v>1500000</v>
      </c>
    </row>
    <row r="39" spans="1:5" x14ac:dyDescent="0.25">
      <c r="A39" s="3" t="s">
        <v>14</v>
      </c>
      <c r="B39" s="8">
        <v>1</v>
      </c>
      <c r="C39" s="2">
        <v>46043</v>
      </c>
      <c r="D39" s="2">
        <v>46112</v>
      </c>
      <c r="E39" s="17">
        <f>Контракты!$E$12/4</f>
        <v>3750000</v>
      </c>
    </row>
    <row r="40" spans="1:5" s="7" customFormat="1" x14ac:dyDescent="0.25">
      <c r="A40" s="3" t="s">
        <v>14</v>
      </c>
      <c r="B40" s="8">
        <v>2</v>
      </c>
      <c r="C40" s="2">
        <v>46113</v>
      </c>
      <c r="D40" s="2">
        <v>46203</v>
      </c>
      <c r="E40" s="17">
        <f>Контракты!$E$12/4</f>
        <v>3750000</v>
      </c>
    </row>
    <row r="41" spans="1:5" s="7" customFormat="1" x14ac:dyDescent="0.25">
      <c r="A41" s="3" t="s">
        <v>14</v>
      </c>
      <c r="B41" s="8">
        <v>3</v>
      </c>
      <c r="C41" s="2">
        <v>46204</v>
      </c>
      <c r="D41" s="2">
        <v>46295</v>
      </c>
      <c r="E41" s="17">
        <f>Контракты!$E$12/4</f>
        <v>3750000</v>
      </c>
    </row>
    <row r="42" spans="1:5" s="7" customFormat="1" x14ac:dyDescent="0.25">
      <c r="A42" s="3" t="s">
        <v>14</v>
      </c>
      <c r="B42" s="11">
        <v>4</v>
      </c>
      <c r="C42" s="2">
        <v>46296</v>
      </c>
      <c r="D42" s="2">
        <v>46371</v>
      </c>
      <c r="E42" s="17">
        <f>Контракты!$E$12/4</f>
        <v>3750000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7"/>
  <sheetViews>
    <sheetView workbookViewId="0">
      <selection activeCell="C7" sqref="C7"/>
    </sheetView>
  </sheetViews>
  <sheetFormatPr defaultRowHeight="15" x14ac:dyDescent="0.25"/>
  <cols>
    <col min="1" max="1" width="16.28515625" bestFit="1" customWidth="1"/>
    <col min="2" max="2" width="18.5703125" bestFit="1" customWidth="1"/>
    <col min="3" max="3" width="18.5703125" style="18" customWidth="1"/>
    <col min="4" max="4" width="40.42578125" style="22" bestFit="1" customWidth="1"/>
    <col min="5" max="5" width="26.85546875" customWidth="1"/>
  </cols>
  <sheetData>
    <row r="2" spans="1:6" x14ac:dyDescent="0.25">
      <c r="A2" s="4" t="s">
        <v>0</v>
      </c>
      <c r="B2" s="35" t="s">
        <v>47</v>
      </c>
      <c r="C2" s="35" t="s">
        <v>46</v>
      </c>
      <c r="D2" s="35" t="s">
        <v>48</v>
      </c>
      <c r="E2" s="35" t="s">
        <v>49</v>
      </c>
    </row>
    <row r="3" spans="1:6" x14ac:dyDescent="0.25">
      <c r="A3" s="35" t="s">
        <v>5</v>
      </c>
      <c r="B3" s="35">
        <v>1</v>
      </c>
      <c r="C3" s="37">
        <v>46038</v>
      </c>
      <c r="D3" s="40" t="s">
        <v>50</v>
      </c>
      <c r="E3" s="35">
        <v>0</v>
      </c>
      <c r="F3" s="34"/>
    </row>
    <row r="4" spans="1:6" x14ac:dyDescent="0.25">
      <c r="A4" s="35" t="s">
        <v>9</v>
      </c>
      <c r="B4" s="35">
        <v>1</v>
      </c>
      <c r="C4" s="37">
        <v>46042</v>
      </c>
      <c r="D4" s="40" t="s">
        <v>50</v>
      </c>
      <c r="E4" s="35">
        <v>0</v>
      </c>
      <c r="F4" s="34"/>
    </row>
    <row r="5" spans="1:6" x14ac:dyDescent="0.25">
      <c r="A5" s="35" t="s">
        <v>5</v>
      </c>
      <c r="B5" s="35">
        <v>2</v>
      </c>
      <c r="C5" s="37">
        <v>46107</v>
      </c>
      <c r="D5" s="40" t="s">
        <v>51</v>
      </c>
      <c r="E5" s="38">
        <v>4000000</v>
      </c>
      <c r="F5" s="34"/>
    </row>
    <row r="6" spans="1:6" x14ac:dyDescent="0.25">
      <c r="A6" s="35" t="s">
        <v>11</v>
      </c>
      <c r="B6" s="35">
        <v>1</v>
      </c>
      <c r="C6" s="37">
        <v>46107</v>
      </c>
      <c r="D6" s="40" t="s">
        <v>51</v>
      </c>
      <c r="E6" s="38">
        <v>6400000</v>
      </c>
      <c r="F6" s="34"/>
    </row>
    <row r="7" spans="1:6" x14ac:dyDescent="0.25">
      <c r="A7" s="35" t="s">
        <v>6</v>
      </c>
      <c r="B7" s="35">
        <v>1</v>
      </c>
      <c r="C7" s="37">
        <v>46162</v>
      </c>
      <c r="D7" s="40" t="s">
        <v>52</v>
      </c>
      <c r="E7" s="35">
        <v>0</v>
      </c>
      <c r="F7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3"/>
  <sheetViews>
    <sheetView workbookViewId="0">
      <selection activeCell="E4" sqref="E4"/>
    </sheetView>
  </sheetViews>
  <sheetFormatPr defaultRowHeight="15" x14ac:dyDescent="0.25"/>
  <cols>
    <col min="1" max="1" width="16.28515625" bestFit="1" customWidth="1"/>
    <col min="2" max="2" width="11.28515625" bestFit="1" customWidth="1"/>
    <col min="3" max="3" width="11.28515625" style="34" customWidth="1"/>
    <col min="4" max="4" width="13.140625" customWidth="1"/>
    <col min="5" max="5" width="20.28515625" style="18" customWidth="1"/>
    <col min="6" max="6" width="17.85546875" bestFit="1" customWidth="1"/>
    <col min="7" max="7" width="24.42578125" bestFit="1" customWidth="1"/>
    <col min="8" max="8" width="26.5703125" customWidth="1"/>
    <col min="9" max="9" width="9.140625" style="48"/>
  </cols>
  <sheetData>
    <row r="2" spans="1:8" ht="30" x14ac:dyDescent="0.25">
      <c r="A2" s="5" t="s">
        <v>0</v>
      </c>
      <c r="B2" s="36" t="s">
        <v>36</v>
      </c>
      <c r="C2" s="36" t="s">
        <v>31</v>
      </c>
      <c r="D2" s="36" t="s">
        <v>35</v>
      </c>
      <c r="E2" s="36" t="s">
        <v>45</v>
      </c>
      <c r="F2" s="36" t="s">
        <v>37</v>
      </c>
      <c r="G2" s="49" t="s">
        <v>38</v>
      </c>
      <c r="H2" s="49" t="s">
        <v>39</v>
      </c>
    </row>
    <row r="3" spans="1:8" x14ac:dyDescent="0.25">
      <c r="A3" s="3" t="s">
        <v>5</v>
      </c>
      <c r="B3" s="35">
        <v>1</v>
      </c>
      <c r="C3" s="35">
        <v>1</v>
      </c>
      <c r="D3" s="37">
        <v>46093</v>
      </c>
      <c r="E3" s="38">
        <v>337500</v>
      </c>
      <c r="F3" s="38">
        <v>1125000</v>
      </c>
      <c r="G3" s="38">
        <v>112500</v>
      </c>
      <c r="H3" s="35" t="s">
        <v>41</v>
      </c>
    </row>
    <row r="4" spans="1:8" x14ac:dyDescent="0.25">
      <c r="A4" s="3" t="s">
        <v>6</v>
      </c>
      <c r="B4" s="35">
        <v>1</v>
      </c>
      <c r="C4" s="35">
        <v>1</v>
      </c>
      <c r="D4" s="37">
        <v>46093</v>
      </c>
      <c r="E4" s="38">
        <v>675000</v>
      </c>
      <c r="F4" s="38">
        <v>2250000</v>
      </c>
      <c r="G4" s="38">
        <v>337500</v>
      </c>
      <c r="H4" s="35" t="s">
        <v>40</v>
      </c>
    </row>
    <row r="5" spans="1:8" x14ac:dyDescent="0.25">
      <c r="A5" s="3" t="s">
        <v>7</v>
      </c>
      <c r="B5" s="35">
        <v>1</v>
      </c>
      <c r="C5" s="35">
        <v>1</v>
      </c>
      <c r="D5" s="37">
        <v>46093</v>
      </c>
      <c r="E5" s="38">
        <v>840000</v>
      </c>
      <c r="F5" s="38">
        <v>2800000</v>
      </c>
      <c r="G5" s="38">
        <v>280000</v>
      </c>
      <c r="H5" s="35" t="s">
        <v>42</v>
      </c>
    </row>
    <row r="6" spans="1:8" x14ac:dyDescent="0.25">
      <c r="A6" s="13" t="s">
        <v>8</v>
      </c>
      <c r="B6" s="39">
        <v>1</v>
      </c>
      <c r="C6" s="39">
        <v>1</v>
      </c>
      <c r="D6" s="37">
        <v>46093</v>
      </c>
      <c r="E6" s="38">
        <v>300000</v>
      </c>
      <c r="F6" s="38">
        <v>1000000</v>
      </c>
      <c r="G6" s="38">
        <v>150000</v>
      </c>
      <c r="H6" s="35" t="s">
        <v>44</v>
      </c>
    </row>
    <row r="7" spans="1:8" x14ac:dyDescent="0.25">
      <c r="A7" s="3" t="s">
        <v>9</v>
      </c>
      <c r="B7" s="39">
        <v>1</v>
      </c>
      <c r="C7" s="39">
        <v>1</v>
      </c>
      <c r="D7" s="37">
        <v>46093</v>
      </c>
      <c r="E7" s="38">
        <v>375000</v>
      </c>
      <c r="F7" s="38">
        <v>1250000</v>
      </c>
      <c r="G7" s="38">
        <v>187500</v>
      </c>
      <c r="H7" s="35" t="s">
        <v>43</v>
      </c>
    </row>
    <row r="8" spans="1:8" x14ac:dyDescent="0.25">
      <c r="A8" s="3" t="s">
        <v>10</v>
      </c>
      <c r="B8" s="39">
        <v>1</v>
      </c>
      <c r="C8" s="39">
        <v>1</v>
      </c>
      <c r="D8" s="37">
        <v>46093</v>
      </c>
      <c r="E8" s="38">
        <v>1462500</v>
      </c>
      <c r="F8" s="38">
        <v>4875000</v>
      </c>
      <c r="G8" s="38">
        <v>731250</v>
      </c>
      <c r="H8" s="35" t="s">
        <v>29</v>
      </c>
    </row>
    <row r="9" spans="1:8" x14ac:dyDescent="0.25">
      <c r="A9" s="3" t="s">
        <v>11</v>
      </c>
      <c r="B9" s="39">
        <v>1</v>
      </c>
      <c r="C9" s="39">
        <v>1</v>
      </c>
      <c r="D9" s="37">
        <v>46093</v>
      </c>
      <c r="E9" s="38">
        <v>510000</v>
      </c>
      <c r="F9" s="38">
        <v>1700000</v>
      </c>
      <c r="G9" s="38">
        <v>255000</v>
      </c>
      <c r="H9" s="35" t="s">
        <v>41</v>
      </c>
    </row>
    <row r="10" spans="1:8" x14ac:dyDescent="0.25">
      <c r="A10" s="3" t="s">
        <v>12</v>
      </c>
      <c r="B10" s="39">
        <v>1</v>
      </c>
      <c r="C10" s="39">
        <v>1</v>
      </c>
      <c r="D10" s="37">
        <v>46093</v>
      </c>
      <c r="E10" s="38">
        <v>645000</v>
      </c>
      <c r="F10" s="38">
        <v>2150000</v>
      </c>
      <c r="G10" s="38">
        <v>107500</v>
      </c>
      <c r="H10" s="35" t="s">
        <v>40</v>
      </c>
    </row>
    <row r="11" spans="1:8" x14ac:dyDescent="0.25">
      <c r="A11" s="3" t="s">
        <v>13</v>
      </c>
      <c r="B11" s="39">
        <v>1</v>
      </c>
      <c r="C11" s="39">
        <v>1</v>
      </c>
      <c r="D11" s="37">
        <v>46093</v>
      </c>
      <c r="E11" s="38">
        <v>450000</v>
      </c>
      <c r="F11" s="38">
        <v>1500000</v>
      </c>
      <c r="G11" s="38">
        <v>225000</v>
      </c>
      <c r="H11" s="35" t="s">
        <v>42</v>
      </c>
    </row>
    <row r="12" spans="1:8" x14ac:dyDescent="0.25">
      <c r="A12" s="3" t="s">
        <v>14</v>
      </c>
      <c r="B12" s="39">
        <v>1</v>
      </c>
      <c r="C12" s="39">
        <v>1</v>
      </c>
      <c r="D12" s="37">
        <v>46093</v>
      </c>
      <c r="E12" s="38">
        <v>1125000</v>
      </c>
      <c r="F12" s="38">
        <v>3750000</v>
      </c>
      <c r="G12" s="38">
        <v>187500</v>
      </c>
      <c r="H12" s="35" t="s">
        <v>42</v>
      </c>
    </row>
    <row r="13" spans="1:8" x14ac:dyDescent="0.25">
      <c r="A13" s="3" t="s">
        <v>5</v>
      </c>
      <c r="B13" s="39">
        <v>2</v>
      </c>
      <c r="C13" s="39">
        <v>2</v>
      </c>
      <c r="D13" s="37">
        <v>46197</v>
      </c>
      <c r="E13" s="38">
        <v>337500</v>
      </c>
      <c r="F13" s="38">
        <v>1125000</v>
      </c>
      <c r="G13" s="38">
        <v>112500</v>
      </c>
      <c r="H13" s="35" t="s">
        <v>41</v>
      </c>
    </row>
    <row r="14" spans="1:8" x14ac:dyDescent="0.25">
      <c r="A14" s="3" t="s">
        <v>6</v>
      </c>
      <c r="B14" s="39">
        <v>2</v>
      </c>
      <c r="C14" s="39">
        <v>2</v>
      </c>
      <c r="D14" s="37">
        <v>46197</v>
      </c>
      <c r="E14" s="38">
        <v>675000</v>
      </c>
      <c r="F14" s="38">
        <v>2250000</v>
      </c>
      <c r="G14" s="38">
        <v>337500</v>
      </c>
      <c r="H14" s="35" t="s">
        <v>40</v>
      </c>
    </row>
    <row r="15" spans="1:8" x14ac:dyDescent="0.25">
      <c r="A15" s="3" t="s">
        <v>7</v>
      </c>
      <c r="B15" s="39">
        <v>2</v>
      </c>
      <c r="C15" s="39">
        <v>2</v>
      </c>
      <c r="D15" s="37">
        <v>46197</v>
      </c>
      <c r="E15" s="38">
        <v>840000</v>
      </c>
      <c r="F15" s="38">
        <v>2800000</v>
      </c>
      <c r="G15" s="38">
        <v>280000</v>
      </c>
      <c r="H15" s="35" t="s">
        <v>42</v>
      </c>
    </row>
    <row r="16" spans="1:8" x14ac:dyDescent="0.25">
      <c r="A16" s="13" t="s">
        <v>8</v>
      </c>
      <c r="B16" s="39">
        <v>2</v>
      </c>
      <c r="C16" s="39">
        <v>2</v>
      </c>
      <c r="D16" s="37">
        <v>46197</v>
      </c>
      <c r="E16" s="38">
        <v>300000</v>
      </c>
      <c r="F16" s="38">
        <v>1000000</v>
      </c>
      <c r="G16" s="38">
        <v>150000</v>
      </c>
      <c r="H16" s="35" t="s">
        <v>44</v>
      </c>
    </row>
    <row r="17" spans="1:8" x14ac:dyDescent="0.25">
      <c r="A17" s="3" t="s">
        <v>9</v>
      </c>
      <c r="B17" s="39">
        <v>2</v>
      </c>
      <c r="C17" s="39">
        <v>2</v>
      </c>
      <c r="D17" s="37">
        <v>46197</v>
      </c>
      <c r="E17" s="38">
        <v>375000</v>
      </c>
      <c r="F17" s="38">
        <v>1250000</v>
      </c>
      <c r="G17" s="38">
        <v>187500</v>
      </c>
      <c r="H17" s="35" t="s">
        <v>43</v>
      </c>
    </row>
    <row r="18" spans="1:8" x14ac:dyDescent="0.25">
      <c r="A18" s="3" t="s">
        <v>10</v>
      </c>
      <c r="B18" s="39">
        <v>2</v>
      </c>
      <c r="C18" s="39">
        <v>2</v>
      </c>
      <c r="D18" s="37">
        <v>46197</v>
      </c>
      <c r="E18" s="38">
        <v>1462500</v>
      </c>
      <c r="F18" s="38">
        <v>4875000</v>
      </c>
      <c r="G18" s="38">
        <v>731250</v>
      </c>
      <c r="H18" s="35" t="s">
        <v>29</v>
      </c>
    </row>
    <row r="19" spans="1:8" x14ac:dyDescent="0.25">
      <c r="A19" s="3" t="s">
        <v>11</v>
      </c>
      <c r="B19" s="39">
        <v>2</v>
      </c>
      <c r="C19" s="39">
        <v>2</v>
      </c>
      <c r="D19" s="37">
        <v>46197</v>
      </c>
      <c r="E19" s="38">
        <v>510000</v>
      </c>
      <c r="F19" s="38">
        <v>1700000</v>
      </c>
      <c r="G19" s="38">
        <v>255000</v>
      </c>
      <c r="H19" s="35" t="s">
        <v>41</v>
      </c>
    </row>
    <row r="20" spans="1:8" x14ac:dyDescent="0.25">
      <c r="A20" s="3" t="s">
        <v>12</v>
      </c>
      <c r="B20" s="39">
        <v>2</v>
      </c>
      <c r="C20" s="39">
        <v>2</v>
      </c>
      <c r="D20" s="37">
        <v>46197</v>
      </c>
      <c r="E20" s="38">
        <v>645000</v>
      </c>
      <c r="F20" s="38">
        <v>2150000</v>
      </c>
      <c r="G20" s="38">
        <v>107500</v>
      </c>
      <c r="H20" s="35" t="s">
        <v>40</v>
      </c>
    </row>
    <row r="21" spans="1:8" x14ac:dyDescent="0.25">
      <c r="A21" s="3" t="s">
        <v>13</v>
      </c>
      <c r="B21" s="39">
        <v>2</v>
      </c>
      <c r="C21" s="39">
        <v>2</v>
      </c>
      <c r="D21" s="37">
        <v>46197</v>
      </c>
      <c r="E21" s="38">
        <v>450000</v>
      </c>
      <c r="F21" s="38">
        <v>1500000</v>
      </c>
      <c r="G21" s="38">
        <v>225000</v>
      </c>
      <c r="H21" s="35" t="s">
        <v>42</v>
      </c>
    </row>
    <row r="22" spans="1:8" x14ac:dyDescent="0.25">
      <c r="A22" s="3" t="s">
        <v>14</v>
      </c>
      <c r="B22" s="39">
        <v>2</v>
      </c>
      <c r="C22" s="39">
        <v>2</v>
      </c>
      <c r="D22" s="37">
        <v>46197</v>
      </c>
      <c r="E22" s="38">
        <v>1125000</v>
      </c>
      <c r="F22" s="38">
        <v>3750000</v>
      </c>
      <c r="G22" s="38">
        <v>187500</v>
      </c>
      <c r="H22" s="35" t="s">
        <v>42</v>
      </c>
    </row>
    <row r="23" spans="1:8" x14ac:dyDescent="0.25">
      <c r="A23" s="48"/>
      <c r="B23" s="48"/>
      <c r="C23" s="48"/>
      <c r="D23" s="48"/>
      <c r="E23" s="48"/>
      <c r="F23" s="48"/>
      <c r="G23" s="48"/>
      <c r="H23" s="48"/>
    </row>
    <row r="28" spans="1:8" x14ac:dyDescent="0.25">
      <c r="A28" s="20"/>
      <c r="B28" s="20"/>
      <c r="C28" s="20"/>
      <c r="D28" s="21"/>
      <c r="E28" s="21"/>
    </row>
    <row r="29" spans="1:8" x14ac:dyDescent="0.25">
      <c r="A29" s="20"/>
      <c r="B29" s="20"/>
      <c r="C29" s="20"/>
      <c r="D29" s="21"/>
      <c r="E29" s="21"/>
    </row>
    <row r="30" spans="1:8" x14ac:dyDescent="0.25">
      <c r="A30" s="20"/>
      <c r="B30" s="19"/>
      <c r="C30" s="19"/>
      <c r="D30" s="21"/>
      <c r="E30" s="21"/>
    </row>
    <row r="31" spans="1:8" x14ac:dyDescent="0.25">
      <c r="A31" s="19"/>
      <c r="B31" s="19"/>
      <c r="C31" s="19"/>
      <c r="D31" s="21"/>
      <c r="E31" s="21"/>
    </row>
    <row r="32" spans="1:8" x14ac:dyDescent="0.25">
      <c r="A32" s="19"/>
      <c r="B32" s="19"/>
      <c r="C32" s="19"/>
      <c r="D32" s="21"/>
      <c r="E32" s="21"/>
    </row>
    <row r="33" spans="1:5" x14ac:dyDescent="0.25">
      <c r="A33" s="19"/>
      <c r="B33" s="19"/>
      <c r="C33" s="19"/>
      <c r="D33" s="21"/>
      <c r="E33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32"/>
  <sheetViews>
    <sheetView workbookViewId="0">
      <selection activeCell="J11" sqref="J11"/>
    </sheetView>
  </sheetViews>
  <sheetFormatPr defaultRowHeight="15" x14ac:dyDescent="0.25"/>
  <cols>
    <col min="1" max="1" width="16.85546875" bestFit="1" customWidth="1"/>
    <col min="2" max="2" width="16.85546875" style="23" customWidth="1"/>
    <col min="3" max="3" width="13.5703125" bestFit="1" customWidth="1"/>
    <col min="4" max="4" width="13.5703125" style="26" customWidth="1"/>
    <col min="5" max="5" width="25.85546875" customWidth="1"/>
    <col min="6" max="6" width="12.5703125" bestFit="1" customWidth="1"/>
  </cols>
  <sheetData>
    <row r="2" spans="1:7" x14ac:dyDescent="0.25">
      <c r="A2" s="24" t="s">
        <v>53</v>
      </c>
      <c r="B2" s="24" t="s">
        <v>56</v>
      </c>
      <c r="C2" s="24" t="s">
        <v>54</v>
      </c>
      <c r="D2" s="27" t="s">
        <v>57</v>
      </c>
      <c r="E2" s="24" t="s">
        <v>55</v>
      </c>
      <c r="F2" s="24" t="s">
        <v>31</v>
      </c>
    </row>
    <row r="3" spans="1:7" x14ac:dyDescent="0.25">
      <c r="A3" s="33" t="s">
        <v>5</v>
      </c>
      <c r="B3" s="39" t="s">
        <v>58</v>
      </c>
      <c r="C3" s="28">
        <v>46042</v>
      </c>
      <c r="D3" s="29">
        <v>11</v>
      </c>
      <c r="E3" s="25">
        <v>337500</v>
      </c>
      <c r="F3" s="32">
        <v>1</v>
      </c>
    </row>
    <row r="4" spans="1:7" x14ac:dyDescent="0.25">
      <c r="A4" s="33" t="s">
        <v>5</v>
      </c>
      <c r="B4" s="39" t="s">
        <v>59</v>
      </c>
      <c r="C4" s="28">
        <v>46104</v>
      </c>
      <c r="D4" s="29">
        <f>D3+120</f>
        <v>131</v>
      </c>
      <c r="E4" s="25">
        <v>787500</v>
      </c>
      <c r="F4" s="32">
        <v>1</v>
      </c>
      <c r="G4" s="34"/>
    </row>
    <row r="5" spans="1:7" x14ac:dyDescent="0.25">
      <c r="A5" s="33" t="s">
        <v>5</v>
      </c>
      <c r="B5" s="39" t="s">
        <v>58</v>
      </c>
      <c r="C5" s="28">
        <v>46108</v>
      </c>
      <c r="D5" s="29">
        <v>160</v>
      </c>
      <c r="E5" s="25">
        <v>337500</v>
      </c>
      <c r="F5" s="32">
        <v>2</v>
      </c>
      <c r="G5" s="34"/>
    </row>
    <row r="6" spans="1:7" x14ac:dyDescent="0.25">
      <c r="A6" s="33" t="s">
        <v>6</v>
      </c>
      <c r="B6" s="39" t="s">
        <v>58</v>
      </c>
      <c r="C6" s="28">
        <v>46042</v>
      </c>
      <c r="D6" s="29">
        <v>12</v>
      </c>
      <c r="E6" s="25">
        <v>675000</v>
      </c>
      <c r="F6" s="32">
        <v>1</v>
      </c>
      <c r="G6" s="34"/>
    </row>
    <row r="7" spans="1:7" x14ac:dyDescent="0.25">
      <c r="A7" s="33" t="s">
        <v>6</v>
      </c>
      <c r="B7" s="39" t="s">
        <v>59</v>
      </c>
      <c r="C7" s="28">
        <v>46104</v>
      </c>
      <c r="D7" s="29">
        <f>D6+120</f>
        <v>132</v>
      </c>
      <c r="E7" s="25">
        <v>1575000</v>
      </c>
      <c r="F7" s="32">
        <v>1</v>
      </c>
      <c r="G7" s="34"/>
    </row>
    <row r="8" spans="1:7" x14ac:dyDescent="0.25">
      <c r="A8" s="33" t="s">
        <v>6</v>
      </c>
      <c r="B8" s="39" t="s">
        <v>58</v>
      </c>
      <c r="C8" s="28">
        <v>46107</v>
      </c>
      <c r="D8" s="29">
        <f>D7+17</f>
        <v>149</v>
      </c>
      <c r="E8" s="25">
        <v>675000</v>
      </c>
      <c r="F8" s="32">
        <v>2</v>
      </c>
      <c r="G8" s="34"/>
    </row>
    <row r="9" spans="1:7" x14ac:dyDescent="0.25">
      <c r="A9" s="33" t="s">
        <v>7</v>
      </c>
      <c r="B9" s="39" t="s">
        <v>58</v>
      </c>
      <c r="C9" s="28">
        <v>46042</v>
      </c>
      <c r="D9" s="29">
        <v>13</v>
      </c>
      <c r="E9" s="25">
        <v>840000</v>
      </c>
      <c r="F9" s="32">
        <v>1</v>
      </c>
      <c r="G9" s="34"/>
    </row>
    <row r="10" spans="1:7" x14ac:dyDescent="0.25">
      <c r="A10" s="33" t="s">
        <v>7</v>
      </c>
      <c r="B10" s="39" t="s">
        <v>59</v>
      </c>
      <c r="C10" s="28">
        <v>46104</v>
      </c>
      <c r="D10" s="29">
        <f>D9+120</f>
        <v>133</v>
      </c>
      <c r="E10" s="25">
        <v>1960000</v>
      </c>
      <c r="F10" s="32">
        <v>1</v>
      </c>
      <c r="G10" s="34"/>
    </row>
    <row r="11" spans="1:7" x14ac:dyDescent="0.25">
      <c r="A11" s="33" t="s">
        <v>7</v>
      </c>
      <c r="B11" s="39" t="s">
        <v>58</v>
      </c>
      <c r="C11" s="28">
        <v>46107</v>
      </c>
      <c r="D11" s="29">
        <f>D10+17</f>
        <v>150</v>
      </c>
      <c r="E11" s="25">
        <v>840000</v>
      </c>
      <c r="F11" s="32">
        <v>2</v>
      </c>
      <c r="G11" s="34"/>
    </row>
    <row r="12" spans="1:7" x14ac:dyDescent="0.25">
      <c r="A12" s="33" t="s">
        <v>8</v>
      </c>
      <c r="B12" s="39" t="s">
        <v>58</v>
      </c>
      <c r="C12" s="28">
        <v>46042</v>
      </c>
      <c r="D12" s="29">
        <v>14</v>
      </c>
      <c r="E12" s="25">
        <v>300000</v>
      </c>
      <c r="F12" s="32">
        <v>1</v>
      </c>
      <c r="G12" s="34"/>
    </row>
    <row r="13" spans="1:7" x14ac:dyDescent="0.25">
      <c r="A13" s="33" t="s">
        <v>8</v>
      </c>
      <c r="B13" s="39" t="s">
        <v>59</v>
      </c>
      <c r="C13" s="28">
        <v>46104</v>
      </c>
      <c r="D13" s="29">
        <f>D12+120</f>
        <v>134</v>
      </c>
      <c r="E13" s="25">
        <v>700000</v>
      </c>
      <c r="F13" s="32">
        <v>1</v>
      </c>
      <c r="G13" s="34"/>
    </row>
    <row r="14" spans="1:7" x14ac:dyDescent="0.25">
      <c r="A14" s="33" t="s">
        <v>8</v>
      </c>
      <c r="B14" s="39" t="s">
        <v>58</v>
      </c>
      <c r="C14" s="28">
        <v>46107</v>
      </c>
      <c r="D14" s="29">
        <f>D13+17</f>
        <v>151</v>
      </c>
      <c r="E14" s="25">
        <v>300000</v>
      </c>
      <c r="F14" s="32">
        <v>2</v>
      </c>
      <c r="G14" s="34"/>
    </row>
    <row r="15" spans="1:7" x14ac:dyDescent="0.25">
      <c r="A15" s="33" t="s">
        <v>9</v>
      </c>
      <c r="B15" s="39" t="s">
        <v>58</v>
      </c>
      <c r="C15" s="28">
        <v>46042</v>
      </c>
      <c r="D15" s="29">
        <v>15</v>
      </c>
      <c r="E15" s="25">
        <v>375000</v>
      </c>
      <c r="F15" s="32">
        <v>1</v>
      </c>
      <c r="G15" s="34"/>
    </row>
    <row r="16" spans="1:7" x14ac:dyDescent="0.25">
      <c r="A16" s="33" t="s">
        <v>9</v>
      </c>
      <c r="B16" s="39" t="s">
        <v>59</v>
      </c>
      <c r="C16" s="28">
        <v>46104</v>
      </c>
      <c r="D16" s="29">
        <f>D15+120</f>
        <v>135</v>
      </c>
      <c r="E16" s="25">
        <v>875000</v>
      </c>
      <c r="F16" s="32">
        <v>1</v>
      </c>
      <c r="G16" s="34"/>
    </row>
    <row r="17" spans="1:7" x14ac:dyDescent="0.25">
      <c r="A17" s="33" t="s">
        <v>9</v>
      </c>
      <c r="B17" s="39" t="s">
        <v>58</v>
      </c>
      <c r="C17" s="28">
        <v>46107</v>
      </c>
      <c r="D17" s="29">
        <f>D16+17</f>
        <v>152</v>
      </c>
      <c r="E17" s="25">
        <v>375000</v>
      </c>
      <c r="F17" s="32">
        <v>2</v>
      </c>
      <c r="G17" s="34"/>
    </row>
    <row r="18" spans="1:7" x14ac:dyDescent="0.25">
      <c r="A18" s="33" t="s">
        <v>10</v>
      </c>
      <c r="B18" s="39" t="s">
        <v>58</v>
      </c>
      <c r="C18" s="28">
        <v>46042</v>
      </c>
      <c r="D18" s="29">
        <v>17</v>
      </c>
      <c r="E18" s="25">
        <v>1462500</v>
      </c>
      <c r="F18" s="32">
        <v>1</v>
      </c>
      <c r="G18" s="34"/>
    </row>
    <row r="19" spans="1:7" x14ac:dyDescent="0.25">
      <c r="A19" s="33" t="s">
        <v>10</v>
      </c>
      <c r="B19" s="39" t="s">
        <v>59</v>
      </c>
      <c r="C19" s="28">
        <v>46104</v>
      </c>
      <c r="D19" s="29">
        <f>D18+120</f>
        <v>137</v>
      </c>
      <c r="E19" s="25">
        <v>3412500</v>
      </c>
      <c r="F19" s="32">
        <v>1</v>
      </c>
      <c r="G19" s="34"/>
    </row>
    <row r="20" spans="1:7" x14ac:dyDescent="0.25">
      <c r="A20" s="33" t="s">
        <v>10</v>
      </c>
      <c r="B20" s="39" t="s">
        <v>58</v>
      </c>
      <c r="C20" s="28">
        <v>46107</v>
      </c>
      <c r="D20" s="29">
        <f>D19+17</f>
        <v>154</v>
      </c>
      <c r="E20" s="25">
        <v>1462500</v>
      </c>
      <c r="F20" s="32">
        <v>2</v>
      </c>
      <c r="G20" s="34"/>
    </row>
    <row r="21" spans="1:7" x14ac:dyDescent="0.25">
      <c r="A21" s="33" t="s">
        <v>11</v>
      </c>
      <c r="B21" s="39" t="s">
        <v>58</v>
      </c>
      <c r="C21" s="28">
        <v>46042</v>
      </c>
      <c r="D21" s="29">
        <v>18</v>
      </c>
      <c r="E21" s="25">
        <v>510000</v>
      </c>
      <c r="F21" s="32">
        <v>1</v>
      </c>
      <c r="G21" s="34"/>
    </row>
    <row r="22" spans="1:7" x14ac:dyDescent="0.25">
      <c r="A22" s="33" t="s">
        <v>11</v>
      </c>
      <c r="B22" s="39" t="s">
        <v>59</v>
      </c>
      <c r="C22" s="28">
        <v>46104</v>
      </c>
      <c r="D22" s="29">
        <f>D21+120</f>
        <v>138</v>
      </c>
      <c r="E22" s="25">
        <v>1190000</v>
      </c>
      <c r="F22" s="32">
        <v>1</v>
      </c>
      <c r="G22" s="34"/>
    </row>
    <row r="23" spans="1:7" x14ac:dyDescent="0.25">
      <c r="A23" s="33" t="s">
        <v>11</v>
      </c>
      <c r="B23" s="39" t="s">
        <v>58</v>
      </c>
      <c r="C23" s="28">
        <v>46108</v>
      </c>
      <c r="D23" s="29">
        <v>162</v>
      </c>
      <c r="E23" s="25">
        <v>480000</v>
      </c>
      <c r="F23" s="32">
        <v>2</v>
      </c>
      <c r="G23" s="34"/>
    </row>
    <row r="24" spans="1:7" x14ac:dyDescent="0.25">
      <c r="A24" s="33" t="s">
        <v>12</v>
      </c>
      <c r="B24" s="39" t="s">
        <v>58</v>
      </c>
      <c r="C24" s="28">
        <v>46042</v>
      </c>
      <c r="D24" s="29">
        <v>19</v>
      </c>
      <c r="E24" s="25">
        <v>645000</v>
      </c>
      <c r="F24" s="32">
        <v>1</v>
      </c>
      <c r="G24" s="34"/>
    </row>
    <row r="25" spans="1:7" x14ac:dyDescent="0.25">
      <c r="A25" s="33" t="s">
        <v>12</v>
      </c>
      <c r="B25" s="39" t="s">
        <v>59</v>
      </c>
      <c r="C25" s="28">
        <v>46104</v>
      </c>
      <c r="D25" s="29">
        <f>D24+120</f>
        <v>139</v>
      </c>
      <c r="E25" s="25">
        <v>1505000</v>
      </c>
      <c r="F25" s="32">
        <v>1</v>
      </c>
      <c r="G25" s="34"/>
    </row>
    <row r="26" spans="1:7" x14ac:dyDescent="0.25">
      <c r="A26" s="33" t="s">
        <v>12</v>
      </c>
      <c r="B26" s="39" t="s">
        <v>58</v>
      </c>
      <c r="C26" s="28">
        <v>46107</v>
      </c>
      <c r="D26" s="29">
        <f>D25+17</f>
        <v>156</v>
      </c>
      <c r="E26" s="25">
        <v>645000</v>
      </c>
      <c r="F26" s="32">
        <v>2</v>
      </c>
      <c r="G26" s="34"/>
    </row>
    <row r="27" spans="1:7" x14ac:dyDescent="0.25">
      <c r="A27" s="33" t="s">
        <v>13</v>
      </c>
      <c r="B27" s="39" t="s">
        <v>58</v>
      </c>
      <c r="C27" s="28">
        <v>46042</v>
      </c>
      <c r="D27" s="29">
        <v>20</v>
      </c>
      <c r="E27" s="25">
        <v>450000</v>
      </c>
      <c r="F27" s="32">
        <v>1</v>
      </c>
      <c r="G27" s="34"/>
    </row>
    <row r="28" spans="1:7" x14ac:dyDescent="0.25">
      <c r="A28" s="33" t="s">
        <v>13</v>
      </c>
      <c r="B28" s="39" t="s">
        <v>59</v>
      </c>
      <c r="C28" s="28">
        <v>46104</v>
      </c>
      <c r="D28" s="29">
        <f>D27+120</f>
        <v>140</v>
      </c>
      <c r="E28" s="25">
        <v>1050000</v>
      </c>
      <c r="F28" s="32">
        <v>1</v>
      </c>
      <c r="G28" s="34"/>
    </row>
    <row r="29" spans="1:7" x14ac:dyDescent="0.25">
      <c r="A29" s="33" t="s">
        <v>13</v>
      </c>
      <c r="B29" s="39" t="s">
        <v>58</v>
      </c>
      <c r="C29" s="28">
        <v>46107</v>
      </c>
      <c r="D29" s="29">
        <f>D28+17</f>
        <v>157</v>
      </c>
      <c r="E29" s="25">
        <v>450000</v>
      </c>
      <c r="F29" s="32">
        <v>2</v>
      </c>
      <c r="G29" s="34"/>
    </row>
    <row r="30" spans="1:7" x14ac:dyDescent="0.25">
      <c r="A30" s="33" t="s">
        <v>14</v>
      </c>
      <c r="B30" s="39" t="s">
        <v>58</v>
      </c>
      <c r="C30" s="28">
        <v>46042</v>
      </c>
      <c r="D30" s="29">
        <v>22</v>
      </c>
      <c r="E30" s="25">
        <v>1125000</v>
      </c>
      <c r="F30" s="32">
        <v>1</v>
      </c>
      <c r="G30" s="34"/>
    </row>
    <row r="31" spans="1:7" x14ac:dyDescent="0.25">
      <c r="A31" s="33" t="s">
        <v>14</v>
      </c>
      <c r="B31" s="39" t="s">
        <v>59</v>
      </c>
      <c r="C31" s="28">
        <v>46104</v>
      </c>
      <c r="D31" s="29">
        <f>D30+120</f>
        <v>142</v>
      </c>
      <c r="E31" s="25">
        <v>2625000</v>
      </c>
      <c r="F31" s="32">
        <v>1</v>
      </c>
      <c r="G31" s="34"/>
    </row>
    <row r="32" spans="1:7" x14ac:dyDescent="0.25">
      <c r="A32" s="33" t="s">
        <v>14</v>
      </c>
      <c r="B32" s="39" t="s">
        <v>58</v>
      </c>
      <c r="C32" s="28">
        <v>46107</v>
      </c>
      <c r="D32" s="29">
        <f>D31+17</f>
        <v>159</v>
      </c>
      <c r="E32" s="25">
        <v>1125000</v>
      </c>
      <c r="F32" s="32">
        <v>2</v>
      </c>
      <c r="G32" s="3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91"/>
  <sheetViews>
    <sheetView workbookViewId="0">
      <selection activeCell="F15" sqref="F15"/>
    </sheetView>
  </sheetViews>
  <sheetFormatPr defaultRowHeight="15" x14ac:dyDescent="0.25"/>
  <cols>
    <col min="1" max="1" width="16.7109375" bestFit="1" customWidth="1"/>
    <col min="2" max="2" width="20.28515625" customWidth="1"/>
    <col min="3" max="3" width="11.28515625" bestFit="1" customWidth="1"/>
  </cols>
  <sheetData>
    <row r="1" spans="1:4" ht="15.75" thickBot="1" x14ac:dyDescent="0.3">
      <c r="A1" s="31" t="s">
        <v>60</v>
      </c>
      <c r="B1" s="31" t="s">
        <v>62</v>
      </c>
      <c r="C1" s="31" t="s">
        <v>61</v>
      </c>
    </row>
    <row r="2" spans="1:4" x14ac:dyDescent="0.25">
      <c r="A2" s="30" t="s">
        <v>5</v>
      </c>
      <c r="B2" s="46">
        <v>46142</v>
      </c>
      <c r="C2" s="41">
        <v>20</v>
      </c>
      <c r="D2" s="34"/>
    </row>
    <row r="3" spans="1:4" x14ac:dyDescent="0.25">
      <c r="A3" s="42" t="s">
        <v>6</v>
      </c>
      <c r="B3" s="37">
        <v>46142</v>
      </c>
      <c r="C3" s="43">
        <v>25</v>
      </c>
      <c r="D3" s="34"/>
    </row>
    <row r="4" spans="1:4" x14ac:dyDescent="0.25">
      <c r="A4" s="42" t="s">
        <v>7</v>
      </c>
      <c r="B4" s="37">
        <v>46142</v>
      </c>
      <c r="C4" s="43">
        <v>20</v>
      </c>
      <c r="D4" s="34"/>
    </row>
    <row r="5" spans="1:4" x14ac:dyDescent="0.25">
      <c r="A5" s="42" t="s">
        <v>8</v>
      </c>
      <c r="B5" s="37">
        <v>46142</v>
      </c>
      <c r="C5" s="43">
        <v>25</v>
      </c>
      <c r="D5" s="34"/>
    </row>
    <row r="6" spans="1:4" x14ac:dyDescent="0.25">
      <c r="A6" s="42" t="s">
        <v>9</v>
      </c>
      <c r="B6" s="37">
        <v>46142</v>
      </c>
      <c r="C6" s="43">
        <v>30</v>
      </c>
      <c r="D6" s="34"/>
    </row>
    <row r="7" spans="1:4" x14ac:dyDescent="0.25">
      <c r="A7" s="42" t="s">
        <v>10</v>
      </c>
      <c r="B7" s="37">
        <v>46142</v>
      </c>
      <c r="C7" s="43">
        <v>27</v>
      </c>
      <c r="D7" s="34"/>
    </row>
    <row r="8" spans="1:4" x14ac:dyDescent="0.25">
      <c r="A8" s="42" t="s">
        <v>11</v>
      </c>
      <c r="B8" s="37">
        <v>46142</v>
      </c>
      <c r="C8" s="43">
        <v>24</v>
      </c>
      <c r="D8" s="34"/>
    </row>
    <row r="9" spans="1:4" x14ac:dyDescent="0.25">
      <c r="A9" s="42" t="s">
        <v>12</v>
      </c>
      <c r="B9" s="37">
        <v>46142</v>
      </c>
      <c r="C9" s="43">
        <v>27</v>
      </c>
      <c r="D9" s="34"/>
    </row>
    <row r="10" spans="1:4" x14ac:dyDescent="0.25">
      <c r="A10" s="42" t="s">
        <v>13</v>
      </c>
      <c r="B10" s="37">
        <v>46142</v>
      </c>
      <c r="C10" s="43">
        <v>25</v>
      </c>
      <c r="D10" s="34"/>
    </row>
    <row r="11" spans="1:4" ht="15.75" thickBot="1" x14ac:dyDescent="0.3">
      <c r="A11" s="44" t="s">
        <v>14</v>
      </c>
      <c r="B11" s="47">
        <v>46142</v>
      </c>
      <c r="C11" s="45">
        <v>25</v>
      </c>
      <c r="D11" s="34"/>
    </row>
    <row r="12" spans="1:4" x14ac:dyDescent="0.25">
      <c r="A12" s="30" t="s">
        <v>5</v>
      </c>
      <c r="B12" s="46">
        <v>46173</v>
      </c>
      <c r="C12" s="41">
        <v>12</v>
      </c>
      <c r="D12" s="34"/>
    </row>
    <row r="13" spans="1:4" x14ac:dyDescent="0.25">
      <c r="A13" s="42" t="s">
        <v>6</v>
      </c>
      <c r="B13" s="37">
        <v>46173</v>
      </c>
      <c r="C13" s="43">
        <v>13</v>
      </c>
      <c r="D13" s="34"/>
    </row>
    <row r="14" spans="1:4" x14ac:dyDescent="0.25">
      <c r="A14" s="42" t="s">
        <v>7</v>
      </c>
      <c r="B14" s="37">
        <v>46173</v>
      </c>
      <c r="C14" s="43">
        <v>6</v>
      </c>
      <c r="D14" s="34"/>
    </row>
    <row r="15" spans="1:4" x14ac:dyDescent="0.25">
      <c r="A15" s="42" t="s">
        <v>8</v>
      </c>
      <c r="B15" s="37">
        <v>46173</v>
      </c>
      <c r="C15" s="43">
        <v>12</v>
      </c>
      <c r="D15" s="34"/>
    </row>
    <row r="16" spans="1:4" x14ac:dyDescent="0.25">
      <c r="A16" s="42" t="s">
        <v>9</v>
      </c>
      <c r="B16" s="37">
        <v>46173</v>
      </c>
      <c r="C16" s="43">
        <v>9</v>
      </c>
      <c r="D16" s="34"/>
    </row>
    <row r="17" spans="1:4" x14ac:dyDescent="0.25">
      <c r="A17" s="42" t="s">
        <v>10</v>
      </c>
      <c r="B17" s="37">
        <v>46173</v>
      </c>
      <c r="C17" s="43">
        <v>15</v>
      </c>
      <c r="D17" s="34"/>
    </row>
    <row r="18" spans="1:4" x14ac:dyDescent="0.25">
      <c r="A18" s="42" t="s">
        <v>11</v>
      </c>
      <c r="B18" s="37">
        <v>46173</v>
      </c>
      <c r="C18" s="43">
        <v>10</v>
      </c>
      <c r="D18" s="34"/>
    </row>
    <row r="19" spans="1:4" x14ac:dyDescent="0.25">
      <c r="A19" s="42" t="s">
        <v>12</v>
      </c>
      <c r="B19" s="37">
        <v>46173</v>
      </c>
      <c r="C19" s="43">
        <v>6</v>
      </c>
      <c r="D19" s="34"/>
    </row>
    <row r="20" spans="1:4" x14ac:dyDescent="0.25">
      <c r="A20" s="42" t="s">
        <v>13</v>
      </c>
      <c r="B20" s="37">
        <v>46173</v>
      </c>
      <c r="C20" s="43">
        <v>11</v>
      </c>
      <c r="D20" s="34"/>
    </row>
    <row r="21" spans="1:4" ht="15.75" thickBot="1" x14ac:dyDescent="0.3">
      <c r="A21" s="44" t="s">
        <v>14</v>
      </c>
      <c r="B21" s="47">
        <v>46173</v>
      </c>
      <c r="C21" s="45">
        <v>10</v>
      </c>
      <c r="D21" s="34"/>
    </row>
    <row r="22" spans="1:4" x14ac:dyDescent="0.25">
      <c r="A22" s="30" t="s">
        <v>5</v>
      </c>
      <c r="B22" s="46">
        <v>46203</v>
      </c>
      <c r="C22" s="41">
        <v>14</v>
      </c>
      <c r="D22" s="34"/>
    </row>
    <row r="23" spans="1:4" x14ac:dyDescent="0.25">
      <c r="A23" s="42" t="s">
        <v>6</v>
      </c>
      <c r="B23" s="37">
        <v>46203</v>
      </c>
      <c r="C23" s="43">
        <v>8</v>
      </c>
      <c r="D23" s="34"/>
    </row>
    <row r="24" spans="1:4" x14ac:dyDescent="0.25">
      <c r="A24" s="42" t="s">
        <v>7</v>
      </c>
      <c r="B24" s="37">
        <v>46203</v>
      </c>
      <c r="C24" s="43">
        <v>11</v>
      </c>
      <c r="D24" s="34"/>
    </row>
    <row r="25" spans="1:4" x14ac:dyDescent="0.25">
      <c r="A25" s="42" t="s">
        <v>8</v>
      </c>
      <c r="B25" s="37">
        <v>46203</v>
      </c>
      <c r="C25" s="43">
        <v>10</v>
      </c>
      <c r="D25" s="34"/>
    </row>
    <row r="26" spans="1:4" x14ac:dyDescent="0.25">
      <c r="A26" s="42" t="s">
        <v>9</v>
      </c>
      <c r="B26" s="37">
        <v>46203</v>
      </c>
      <c r="C26" s="43">
        <v>15</v>
      </c>
      <c r="D26" s="34"/>
    </row>
    <row r="27" spans="1:4" x14ac:dyDescent="0.25">
      <c r="A27" s="42" t="s">
        <v>10</v>
      </c>
      <c r="B27" s="37">
        <v>46203</v>
      </c>
      <c r="C27" s="43">
        <v>12</v>
      </c>
      <c r="D27" s="34"/>
    </row>
    <row r="28" spans="1:4" x14ac:dyDescent="0.25">
      <c r="A28" s="42" t="s">
        <v>11</v>
      </c>
      <c r="B28" s="37">
        <v>46203</v>
      </c>
      <c r="C28" s="43">
        <v>7</v>
      </c>
      <c r="D28" s="34"/>
    </row>
    <row r="29" spans="1:4" x14ac:dyDescent="0.25">
      <c r="A29" s="42" t="s">
        <v>12</v>
      </c>
      <c r="B29" s="37">
        <v>46203</v>
      </c>
      <c r="C29" s="43">
        <v>14</v>
      </c>
      <c r="D29" s="34"/>
    </row>
    <row r="30" spans="1:4" x14ac:dyDescent="0.25">
      <c r="A30" s="42" t="s">
        <v>13</v>
      </c>
      <c r="B30" s="37">
        <v>46203</v>
      </c>
      <c r="C30" s="43">
        <v>13</v>
      </c>
      <c r="D30" s="34"/>
    </row>
    <row r="31" spans="1:4" ht="15.75" thickBot="1" x14ac:dyDescent="0.3">
      <c r="A31" s="44" t="s">
        <v>14</v>
      </c>
      <c r="B31" s="47">
        <v>46203</v>
      </c>
      <c r="C31" s="45">
        <v>14</v>
      </c>
      <c r="D31" s="34"/>
    </row>
    <row r="32" spans="1:4" x14ac:dyDescent="0.25">
      <c r="A32" s="30" t="s">
        <v>5</v>
      </c>
      <c r="B32" s="46">
        <v>46234</v>
      </c>
      <c r="C32" s="41">
        <v>13</v>
      </c>
      <c r="D32" s="34"/>
    </row>
    <row r="33" spans="1:4" x14ac:dyDescent="0.25">
      <c r="A33" s="42" t="s">
        <v>6</v>
      </c>
      <c r="B33" s="37">
        <v>46234</v>
      </c>
      <c r="C33" s="43">
        <v>9</v>
      </c>
      <c r="D33" s="34"/>
    </row>
    <row r="34" spans="1:4" x14ac:dyDescent="0.25">
      <c r="A34" s="42" t="s">
        <v>7</v>
      </c>
      <c r="B34" s="37">
        <v>46234</v>
      </c>
      <c r="C34" s="43">
        <v>15</v>
      </c>
      <c r="D34" s="34"/>
    </row>
    <row r="35" spans="1:4" x14ac:dyDescent="0.25">
      <c r="A35" s="42" t="s">
        <v>8</v>
      </c>
      <c r="B35" s="37">
        <v>46234</v>
      </c>
      <c r="C35" s="43">
        <v>6</v>
      </c>
      <c r="D35" s="34"/>
    </row>
    <row r="36" spans="1:4" x14ac:dyDescent="0.25">
      <c r="A36" s="42" t="s">
        <v>9</v>
      </c>
      <c r="B36" s="37">
        <v>46234</v>
      </c>
      <c r="C36" s="43">
        <v>8</v>
      </c>
      <c r="D36" s="34"/>
    </row>
    <row r="37" spans="1:4" x14ac:dyDescent="0.25">
      <c r="A37" s="42" t="s">
        <v>10</v>
      </c>
      <c r="B37" s="37">
        <v>46234</v>
      </c>
      <c r="C37" s="43">
        <v>10</v>
      </c>
      <c r="D37" s="34"/>
    </row>
    <row r="38" spans="1:4" x14ac:dyDescent="0.25">
      <c r="A38" s="42" t="s">
        <v>11</v>
      </c>
      <c r="B38" s="37">
        <v>46234</v>
      </c>
      <c r="C38" s="43">
        <v>14</v>
      </c>
      <c r="D38" s="34"/>
    </row>
    <row r="39" spans="1:4" x14ac:dyDescent="0.25">
      <c r="A39" s="42" t="s">
        <v>12</v>
      </c>
      <c r="B39" s="37">
        <v>46234</v>
      </c>
      <c r="C39" s="43">
        <v>15</v>
      </c>
      <c r="D39" s="34"/>
    </row>
    <row r="40" spans="1:4" x14ac:dyDescent="0.25">
      <c r="A40" s="42" t="s">
        <v>13</v>
      </c>
      <c r="B40" s="37">
        <v>46234</v>
      </c>
      <c r="C40" s="43">
        <v>8</v>
      </c>
      <c r="D40" s="34"/>
    </row>
    <row r="41" spans="1:4" ht="15.75" thickBot="1" x14ac:dyDescent="0.3">
      <c r="A41" s="44" t="s">
        <v>14</v>
      </c>
      <c r="B41" s="47">
        <v>46234</v>
      </c>
      <c r="C41" s="45">
        <v>10</v>
      </c>
      <c r="D41" s="34"/>
    </row>
    <row r="42" spans="1:4" x14ac:dyDescent="0.25">
      <c r="A42" s="30" t="s">
        <v>5</v>
      </c>
      <c r="B42" s="46">
        <v>46265</v>
      </c>
      <c r="C42" s="41">
        <v>11</v>
      </c>
      <c r="D42" s="34"/>
    </row>
    <row r="43" spans="1:4" x14ac:dyDescent="0.25">
      <c r="A43" s="42" t="s">
        <v>6</v>
      </c>
      <c r="B43" s="37">
        <v>46265</v>
      </c>
      <c r="C43" s="43">
        <v>6</v>
      </c>
      <c r="D43" s="34"/>
    </row>
    <row r="44" spans="1:4" x14ac:dyDescent="0.25">
      <c r="A44" s="42" t="s">
        <v>7</v>
      </c>
      <c r="B44" s="37">
        <v>46265</v>
      </c>
      <c r="C44" s="43">
        <v>6</v>
      </c>
      <c r="D44" s="34"/>
    </row>
    <row r="45" spans="1:4" x14ac:dyDescent="0.25">
      <c r="A45" s="42" t="s">
        <v>8</v>
      </c>
      <c r="B45" s="37">
        <v>46265</v>
      </c>
      <c r="C45" s="43">
        <v>15</v>
      </c>
      <c r="D45" s="34"/>
    </row>
    <row r="46" spans="1:4" x14ac:dyDescent="0.25">
      <c r="A46" s="42" t="s">
        <v>9</v>
      </c>
      <c r="B46" s="37">
        <v>46265</v>
      </c>
      <c r="C46" s="43">
        <v>7</v>
      </c>
      <c r="D46" s="34"/>
    </row>
    <row r="47" spans="1:4" x14ac:dyDescent="0.25">
      <c r="A47" s="42" t="s">
        <v>10</v>
      </c>
      <c r="B47" s="37">
        <v>46265</v>
      </c>
      <c r="C47" s="43">
        <v>13</v>
      </c>
      <c r="D47" s="34"/>
    </row>
    <row r="48" spans="1:4" x14ac:dyDescent="0.25">
      <c r="A48" s="42" t="s">
        <v>11</v>
      </c>
      <c r="B48" s="37">
        <v>46265</v>
      </c>
      <c r="C48" s="43">
        <v>7</v>
      </c>
      <c r="D48" s="34"/>
    </row>
    <row r="49" spans="1:4" x14ac:dyDescent="0.25">
      <c r="A49" s="42" t="s">
        <v>12</v>
      </c>
      <c r="B49" s="37">
        <v>46265</v>
      </c>
      <c r="C49" s="43">
        <v>13</v>
      </c>
      <c r="D49" s="34"/>
    </row>
    <row r="50" spans="1:4" x14ac:dyDescent="0.25">
      <c r="A50" s="42" t="s">
        <v>13</v>
      </c>
      <c r="B50" s="37">
        <v>46265</v>
      </c>
      <c r="C50" s="43">
        <v>8</v>
      </c>
      <c r="D50" s="34"/>
    </row>
    <row r="51" spans="1:4" ht="15.75" thickBot="1" x14ac:dyDescent="0.3">
      <c r="A51" s="44" t="s">
        <v>14</v>
      </c>
      <c r="B51" s="47">
        <v>46265</v>
      </c>
      <c r="C51" s="45">
        <v>8</v>
      </c>
      <c r="D51" s="34"/>
    </row>
    <row r="52" spans="1:4" x14ac:dyDescent="0.25">
      <c r="A52" s="30" t="s">
        <v>5</v>
      </c>
      <c r="B52" s="46">
        <v>46295</v>
      </c>
      <c r="C52" s="41">
        <v>15</v>
      </c>
      <c r="D52" s="34"/>
    </row>
    <row r="53" spans="1:4" x14ac:dyDescent="0.25">
      <c r="A53" s="42" t="s">
        <v>6</v>
      </c>
      <c r="B53" s="37">
        <v>46295</v>
      </c>
      <c r="C53" s="43">
        <v>8</v>
      </c>
      <c r="D53" s="34"/>
    </row>
    <row r="54" spans="1:4" x14ac:dyDescent="0.25">
      <c r="A54" s="42" t="s">
        <v>7</v>
      </c>
      <c r="B54" s="37">
        <v>46295</v>
      </c>
      <c r="C54" s="43">
        <v>11</v>
      </c>
      <c r="D54" s="34"/>
    </row>
    <row r="55" spans="1:4" x14ac:dyDescent="0.25">
      <c r="A55" s="42" t="s">
        <v>8</v>
      </c>
      <c r="B55" s="37">
        <v>46295</v>
      </c>
      <c r="C55" s="43">
        <v>10</v>
      </c>
      <c r="D55" s="34"/>
    </row>
    <row r="56" spans="1:4" x14ac:dyDescent="0.25">
      <c r="A56" s="42" t="s">
        <v>9</v>
      </c>
      <c r="B56" s="37">
        <v>46295</v>
      </c>
      <c r="C56" s="43">
        <v>12</v>
      </c>
      <c r="D56" s="34"/>
    </row>
    <row r="57" spans="1:4" x14ac:dyDescent="0.25">
      <c r="A57" s="42" t="s">
        <v>10</v>
      </c>
      <c r="B57" s="37">
        <v>46295</v>
      </c>
      <c r="C57" s="43">
        <v>14</v>
      </c>
      <c r="D57" s="34"/>
    </row>
    <row r="58" spans="1:4" x14ac:dyDescent="0.25">
      <c r="A58" s="42" t="s">
        <v>11</v>
      </c>
      <c r="B58" s="37">
        <v>46295</v>
      </c>
      <c r="C58" s="43">
        <v>15</v>
      </c>
      <c r="D58" s="34"/>
    </row>
    <row r="59" spans="1:4" x14ac:dyDescent="0.25">
      <c r="A59" s="42" t="s">
        <v>12</v>
      </c>
      <c r="B59" s="37">
        <v>46295</v>
      </c>
      <c r="C59" s="43">
        <v>7</v>
      </c>
      <c r="D59" s="34"/>
    </row>
    <row r="60" spans="1:4" x14ac:dyDescent="0.25">
      <c r="A60" s="42" t="s">
        <v>13</v>
      </c>
      <c r="B60" s="37">
        <v>46295</v>
      </c>
      <c r="C60" s="43">
        <v>7</v>
      </c>
      <c r="D60" s="34"/>
    </row>
    <row r="61" spans="1:4" ht="15.75" thickBot="1" x14ac:dyDescent="0.3">
      <c r="A61" s="44" t="s">
        <v>14</v>
      </c>
      <c r="B61" s="47">
        <v>46295</v>
      </c>
      <c r="C61" s="45">
        <v>12</v>
      </c>
      <c r="D61" s="34"/>
    </row>
    <row r="62" spans="1:4" x14ac:dyDescent="0.25">
      <c r="A62" s="30" t="s">
        <v>5</v>
      </c>
      <c r="B62" s="46">
        <v>46326</v>
      </c>
      <c r="C62" s="41">
        <v>9</v>
      </c>
      <c r="D62" s="34"/>
    </row>
    <row r="63" spans="1:4" x14ac:dyDescent="0.25">
      <c r="A63" s="42" t="s">
        <v>6</v>
      </c>
      <c r="B63" s="37">
        <v>46326</v>
      </c>
      <c r="C63" s="43">
        <v>6</v>
      </c>
      <c r="D63" s="34"/>
    </row>
    <row r="64" spans="1:4" x14ac:dyDescent="0.25">
      <c r="A64" s="42" t="s">
        <v>7</v>
      </c>
      <c r="B64" s="37">
        <v>46326</v>
      </c>
      <c r="C64" s="43">
        <v>13</v>
      </c>
      <c r="D64" s="34"/>
    </row>
    <row r="65" spans="1:4" x14ac:dyDescent="0.25">
      <c r="A65" s="42" t="s">
        <v>8</v>
      </c>
      <c r="B65" s="37">
        <v>46326</v>
      </c>
      <c r="C65" s="43">
        <v>10</v>
      </c>
      <c r="D65" s="34"/>
    </row>
    <row r="66" spans="1:4" x14ac:dyDescent="0.25">
      <c r="A66" s="42" t="s">
        <v>9</v>
      </c>
      <c r="B66" s="37">
        <v>46326</v>
      </c>
      <c r="C66" s="43">
        <v>15</v>
      </c>
      <c r="D66" s="34"/>
    </row>
    <row r="67" spans="1:4" x14ac:dyDescent="0.25">
      <c r="A67" s="42" t="s">
        <v>10</v>
      </c>
      <c r="B67" s="37">
        <v>46326</v>
      </c>
      <c r="C67" s="43">
        <v>12</v>
      </c>
      <c r="D67" s="34"/>
    </row>
    <row r="68" spans="1:4" x14ac:dyDescent="0.25">
      <c r="A68" s="42" t="s">
        <v>11</v>
      </c>
      <c r="B68" s="37">
        <v>46326</v>
      </c>
      <c r="C68" s="43">
        <v>6</v>
      </c>
      <c r="D68" s="34"/>
    </row>
    <row r="69" spans="1:4" x14ac:dyDescent="0.25">
      <c r="A69" s="42" t="s">
        <v>12</v>
      </c>
      <c r="B69" s="37">
        <v>46326</v>
      </c>
      <c r="C69" s="43">
        <v>6</v>
      </c>
      <c r="D69" s="34"/>
    </row>
    <row r="70" spans="1:4" x14ac:dyDescent="0.25">
      <c r="A70" s="42" t="s">
        <v>13</v>
      </c>
      <c r="B70" s="37">
        <v>46326</v>
      </c>
      <c r="C70" s="43">
        <v>13</v>
      </c>
      <c r="D70" s="34"/>
    </row>
    <row r="71" spans="1:4" ht="15.75" thickBot="1" x14ac:dyDescent="0.3">
      <c r="A71" s="44" t="s">
        <v>14</v>
      </c>
      <c r="B71" s="47">
        <v>46326</v>
      </c>
      <c r="C71" s="45">
        <v>13</v>
      </c>
      <c r="D71" s="34"/>
    </row>
    <row r="72" spans="1:4" x14ac:dyDescent="0.25">
      <c r="A72" s="30" t="s">
        <v>5</v>
      </c>
      <c r="B72" s="46">
        <v>46356</v>
      </c>
      <c r="C72" s="41">
        <v>15</v>
      </c>
      <c r="D72" s="34"/>
    </row>
    <row r="73" spans="1:4" x14ac:dyDescent="0.25">
      <c r="A73" s="42" t="s">
        <v>6</v>
      </c>
      <c r="B73" s="37">
        <v>46356</v>
      </c>
      <c r="C73" s="43">
        <v>15</v>
      </c>
      <c r="D73" s="34"/>
    </row>
    <row r="74" spans="1:4" x14ac:dyDescent="0.25">
      <c r="A74" s="42" t="s">
        <v>7</v>
      </c>
      <c r="B74" s="37">
        <v>46356</v>
      </c>
      <c r="C74" s="43">
        <v>15</v>
      </c>
      <c r="D74" s="34"/>
    </row>
    <row r="75" spans="1:4" x14ac:dyDescent="0.25">
      <c r="A75" s="42" t="s">
        <v>8</v>
      </c>
      <c r="B75" s="37">
        <v>46356</v>
      </c>
      <c r="C75" s="43">
        <v>15</v>
      </c>
      <c r="D75" s="34"/>
    </row>
    <row r="76" spans="1:4" x14ac:dyDescent="0.25">
      <c r="A76" s="42" t="s">
        <v>9</v>
      </c>
      <c r="B76" s="37">
        <v>46356</v>
      </c>
      <c r="C76" s="43">
        <v>15</v>
      </c>
      <c r="D76" s="34"/>
    </row>
    <row r="77" spans="1:4" x14ac:dyDescent="0.25">
      <c r="A77" s="42" t="s">
        <v>10</v>
      </c>
      <c r="B77" s="37">
        <v>46356</v>
      </c>
      <c r="C77" s="43">
        <v>15</v>
      </c>
      <c r="D77" s="34"/>
    </row>
    <row r="78" spans="1:4" x14ac:dyDescent="0.25">
      <c r="A78" s="42" t="s">
        <v>11</v>
      </c>
      <c r="B78" s="37">
        <v>46356</v>
      </c>
      <c r="C78" s="43">
        <v>15</v>
      </c>
      <c r="D78" s="34"/>
    </row>
    <row r="79" spans="1:4" x14ac:dyDescent="0.25">
      <c r="A79" s="42" t="s">
        <v>12</v>
      </c>
      <c r="B79" s="37">
        <v>46356</v>
      </c>
      <c r="C79" s="43">
        <v>15</v>
      </c>
      <c r="D79" s="34"/>
    </row>
    <row r="80" spans="1:4" x14ac:dyDescent="0.25">
      <c r="A80" s="42" t="s">
        <v>13</v>
      </c>
      <c r="B80" s="37">
        <v>46356</v>
      </c>
      <c r="C80" s="43">
        <v>15</v>
      </c>
      <c r="D80" s="34"/>
    </row>
    <row r="81" spans="1:4" ht="15.75" thickBot="1" x14ac:dyDescent="0.3">
      <c r="A81" s="44" t="s">
        <v>14</v>
      </c>
      <c r="B81" s="47">
        <v>46356</v>
      </c>
      <c r="C81" s="45">
        <v>15</v>
      </c>
      <c r="D81" s="34"/>
    </row>
    <row r="82" spans="1:4" x14ac:dyDescent="0.25">
      <c r="A82" s="30" t="s">
        <v>5</v>
      </c>
      <c r="B82" s="46">
        <v>46371</v>
      </c>
      <c r="C82" s="41">
        <v>16</v>
      </c>
      <c r="D82" s="34"/>
    </row>
    <row r="83" spans="1:4" x14ac:dyDescent="0.25">
      <c r="A83" s="42" t="s">
        <v>6</v>
      </c>
      <c r="B83" s="37">
        <v>46371</v>
      </c>
      <c r="C83" s="43">
        <v>15</v>
      </c>
      <c r="D83" s="34"/>
    </row>
    <row r="84" spans="1:4" x14ac:dyDescent="0.25">
      <c r="A84" s="42" t="s">
        <v>7</v>
      </c>
      <c r="B84" s="37">
        <v>46371</v>
      </c>
      <c r="C84" s="43">
        <v>13</v>
      </c>
      <c r="D84" s="34"/>
    </row>
    <row r="85" spans="1:4" x14ac:dyDescent="0.25">
      <c r="A85" s="42" t="s">
        <v>8</v>
      </c>
      <c r="B85" s="37">
        <v>46371</v>
      </c>
      <c r="C85" s="43">
        <v>12</v>
      </c>
      <c r="D85" s="34"/>
    </row>
    <row r="86" spans="1:4" x14ac:dyDescent="0.25">
      <c r="A86" s="42" t="s">
        <v>9</v>
      </c>
      <c r="B86" s="37">
        <v>46371</v>
      </c>
      <c r="C86" s="43">
        <v>14</v>
      </c>
      <c r="D86" s="34"/>
    </row>
    <row r="87" spans="1:4" x14ac:dyDescent="0.25">
      <c r="A87" s="42" t="s">
        <v>10</v>
      </c>
      <c r="B87" s="37">
        <v>46371</v>
      </c>
      <c r="C87" s="43">
        <v>12</v>
      </c>
      <c r="D87" s="34"/>
    </row>
    <row r="88" spans="1:4" x14ac:dyDescent="0.25">
      <c r="A88" s="42" t="s">
        <v>11</v>
      </c>
      <c r="B88" s="37">
        <v>46371</v>
      </c>
      <c r="C88" s="43">
        <v>12</v>
      </c>
      <c r="D88" s="34"/>
    </row>
    <row r="89" spans="1:4" x14ac:dyDescent="0.25">
      <c r="A89" s="42" t="s">
        <v>12</v>
      </c>
      <c r="B89" s="37">
        <v>46371</v>
      </c>
      <c r="C89" s="43">
        <v>17</v>
      </c>
      <c r="D89" s="34"/>
    </row>
    <row r="90" spans="1:4" x14ac:dyDescent="0.25">
      <c r="A90" s="42" t="s">
        <v>13</v>
      </c>
      <c r="B90" s="37">
        <v>46371</v>
      </c>
      <c r="C90" s="43">
        <v>15</v>
      </c>
      <c r="D90" s="34"/>
    </row>
    <row r="91" spans="1:4" ht="15.75" thickBot="1" x14ac:dyDescent="0.3">
      <c r="A91" s="44" t="s">
        <v>14</v>
      </c>
      <c r="B91" s="47">
        <v>46371</v>
      </c>
      <c r="C91" s="45">
        <v>13</v>
      </c>
      <c r="D91" s="3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1"/>
  <sheetViews>
    <sheetView workbookViewId="0">
      <selection activeCell="F23" sqref="F23"/>
    </sheetView>
  </sheetViews>
  <sheetFormatPr defaultRowHeight="15" x14ac:dyDescent="0.25"/>
  <cols>
    <col min="1" max="1" width="16.7109375" bestFit="1" customWidth="1"/>
    <col min="2" max="2" width="10.140625" bestFit="1" customWidth="1"/>
    <col min="3" max="3" width="11.28515625" bestFit="1" customWidth="1"/>
  </cols>
  <sheetData>
    <row r="1" spans="1:4" ht="15.75" thickBot="1" x14ac:dyDescent="0.3">
      <c r="A1" s="31" t="s">
        <v>60</v>
      </c>
      <c r="B1" s="31" t="s">
        <v>62</v>
      </c>
      <c r="C1" s="31" t="s">
        <v>63</v>
      </c>
    </row>
    <row r="2" spans="1:4" x14ac:dyDescent="0.25">
      <c r="A2" s="30" t="s">
        <v>5</v>
      </c>
      <c r="B2" s="46">
        <v>46142</v>
      </c>
      <c r="C2" s="41">
        <v>19</v>
      </c>
    </row>
    <row r="3" spans="1:4" x14ac:dyDescent="0.25">
      <c r="A3" s="42" t="s">
        <v>6</v>
      </c>
      <c r="B3" s="37">
        <v>46142</v>
      </c>
      <c r="C3" s="43">
        <v>22.5</v>
      </c>
      <c r="D3" s="34"/>
    </row>
    <row r="4" spans="1:4" x14ac:dyDescent="0.25">
      <c r="A4" s="42" t="s">
        <v>7</v>
      </c>
      <c r="B4" s="37">
        <v>46142</v>
      </c>
      <c r="C4" s="43">
        <v>20</v>
      </c>
      <c r="D4" s="34"/>
    </row>
    <row r="5" spans="1:4" x14ac:dyDescent="0.25">
      <c r="A5" s="42" t="s">
        <v>8</v>
      </c>
      <c r="B5" s="37">
        <v>46142</v>
      </c>
      <c r="C5" s="43">
        <v>24</v>
      </c>
      <c r="D5" s="34"/>
    </row>
    <row r="6" spans="1:4" x14ac:dyDescent="0.25">
      <c r="A6" s="42" t="s">
        <v>9</v>
      </c>
      <c r="B6" s="37">
        <v>46142</v>
      </c>
      <c r="C6" s="43">
        <v>29</v>
      </c>
      <c r="D6" s="34"/>
    </row>
    <row r="7" spans="1:4" x14ac:dyDescent="0.25">
      <c r="A7" s="42" t="s">
        <v>10</v>
      </c>
      <c r="B7" s="37">
        <v>46142</v>
      </c>
      <c r="C7" s="43">
        <v>27</v>
      </c>
      <c r="D7" s="34"/>
    </row>
    <row r="8" spans="1:4" x14ac:dyDescent="0.25">
      <c r="A8" s="42" t="s">
        <v>11</v>
      </c>
      <c r="B8" s="37">
        <v>46142</v>
      </c>
      <c r="C8" s="43">
        <v>24</v>
      </c>
      <c r="D8" s="34"/>
    </row>
    <row r="9" spans="1:4" x14ac:dyDescent="0.25">
      <c r="A9" s="42" t="s">
        <v>12</v>
      </c>
      <c r="B9" s="37">
        <v>46142</v>
      </c>
      <c r="C9" s="43">
        <v>26</v>
      </c>
      <c r="D9" s="34"/>
    </row>
    <row r="10" spans="1:4" x14ac:dyDescent="0.25">
      <c r="A10" s="42" t="s">
        <v>13</v>
      </c>
      <c r="B10" s="37">
        <v>46142</v>
      </c>
      <c r="C10" s="43">
        <v>24</v>
      </c>
      <c r="D10" s="34"/>
    </row>
    <row r="11" spans="1:4" ht="15.75" thickBot="1" x14ac:dyDescent="0.3">
      <c r="A11" s="44" t="s">
        <v>14</v>
      </c>
      <c r="B11" s="47">
        <v>46142</v>
      </c>
      <c r="C11" s="45">
        <v>25</v>
      </c>
      <c r="D11" s="34"/>
    </row>
    <row r="12" spans="1:4" x14ac:dyDescent="0.25">
      <c r="A12" s="30" t="s">
        <v>5</v>
      </c>
      <c r="B12" s="46">
        <v>46173</v>
      </c>
      <c r="C12" s="41">
        <v>13</v>
      </c>
    </row>
    <row r="13" spans="1:4" x14ac:dyDescent="0.25">
      <c r="A13" s="42" t="s">
        <v>6</v>
      </c>
      <c r="B13" s="37">
        <v>46173</v>
      </c>
      <c r="C13" s="43">
        <v>13.5</v>
      </c>
    </row>
    <row r="14" spans="1:4" x14ac:dyDescent="0.25">
      <c r="A14" s="42" t="s">
        <v>7</v>
      </c>
      <c r="B14" s="37">
        <v>46173</v>
      </c>
      <c r="C14" s="43">
        <v>6</v>
      </c>
    </row>
    <row r="15" spans="1:4" x14ac:dyDescent="0.25">
      <c r="A15" s="42" t="s">
        <v>8</v>
      </c>
      <c r="B15" s="37">
        <v>46173</v>
      </c>
      <c r="C15" s="43">
        <v>13</v>
      </c>
    </row>
    <row r="16" spans="1:4" x14ac:dyDescent="0.25">
      <c r="A16" s="42" t="s">
        <v>9</v>
      </c>
      <c r="B16" s="37">
        <v>46173</v>
      </c>
      <c r="C16" s="43">
        <v>9</v>
      </c>
    </row>
    <row r="17" spans="1:3" x14ac:dyDescent="0.25">
      <c r="A17" s="42" t="s">
        <v>10</v>
      </c>
      <c r="B17" s="37">
        <v>46173</v>
      </c>
      <c r="C17" s="43">
        <v>15</v>
      </c>
    </row>
    <row r="18" spans="1:3" x14ac:dyDescent="0.25">
      <c r="A18" s="42" t="s">
        <v>11</v>
      </c>
      <c r="B18" s="37">
        <v>46173</v>
      </c>
      <c r="C18" s="43">
        <v>8</v>
      </c>
    </row>
    <row r="19" spans="1:3" x14ac:dyDescent="0.25">
      <c r="A19" s="42" t="s">
        <v>12</v>
      </c>
      <c r="B19" s="37">
        <v>46173</v>
      </c>
      <c r="C19" s="43">
        <v>6</v>
      </c>
    </row>
    <row r="20" spans="1:3" x14ac:dyDescent="0.25">
      <c r="A20" s="42" t="s">
        <v>13</v>
      </c>
      <c r="B20" s="37">
        <v>46173</v>
      </c>
      <c r="C20" s="43">
        <v>11</v>
      </c>
    </row>
    <row r="21" spans="1:3" ht="15.75" thickBot="1" x14ac:dyDescent="0.3">
      <c r="A21" s="44" t="s">
        <v>14</v>
      </c>
      <c r="B21" s="47">
        <v>46173</v>
      </c>
      <c r="C21" s="45">
        <v>10</v>
      </c>
    </row>
    <row r="22" spans="1:3" x14ac:dyDescent="0.25">
      <c r="A22" s="30" t="s">
        <v>5</v>
      </c>
      <c r="B22" s="46">
        <v>46203</v>
      </c>
      <c r="C22" s="41">
        <v>14</v>
      </c>
    </row>
    <row r="23" spans="1:3" x14ac:dyDescent="0.25">
      <c r="A23" s="42" t="s">
        <v>6</v>
      </c>
      <c r="B23" s="37">
        <v>46203</v>
      </c>
      <c r="C23" s="43">
        <v>10</v>
      </c>
    </row>
    <row r="24" spans="1:3" x14ac:dyDescent="0.25">
      <c r="A24" s="42" t="s">
        <v>7</v>
      </c>
      <c r="B24" s="37">
        <v>46203</v>
      </c>
      <c r="C24" s="43">
        <v>11</v>
      </c>
    </row>
    <row r="25" spans="1:3" x14ac:dyDescent="0.25">
      <c r="A25" s="42" t="s">
        <v>8</v>
      </c>
      <c r="B25" s="37">
        <v>46203</v>
      </c>
      <c r="C25" s="43">
        <v>10</v>
      </c>
    </row>
    <row r="26" spans="1:3" x14ac:dyDescent="0.25">
      <c r="A26" s="42" t="s">
        <v>9</v>
      </c>
      <c r="B26" s="37">
        <v>46203</v>
      </c>
      <c r="C26" s="43">
        <v>16</v>
      </c>
    </row>
    <row r="27" spans="1:3" x14ac:dyDescent="0.25">
      <c r="A27" s="42" t="s">
        <v>10</v>
      </c>
      <c r="B27" s="37">
        <v>46203</v>
      </c>
      <c r="C27" s="43">
        <v>12</v>
      </c>
    </row>
    <row r="28" spans="1:3" x14ac:dyDescent="0.25">
      <c r="A28" s="42" t="s">
        <v>11</v>
      </c>
      <c r="B28" s="37">
        <v>46203</v>
      </c>
      <c r="C28" s="43">
        <v>9</v>
      </c>
    </row>
    <row r="29" spans="1:3" x14ac:dyDescent="0.25">
      <c r="A29" s="42" t="s">
        <v>12</v>
      </c>
      <c r="B29" s="37">
        <v>46203</v>
      </c>
      <c r="C29" s="43">
        <v>15</v>
      </c>
    </row>
    <row r="30" spans="1:3" x14ac:dyDescent="0.25">
      <c r="A30" s="42" t="s">
        <v>13</v>
      </c>
      <c r="B30" s="37">
        <v>46203</v>
      </c>
      <c r="C30" s="43">
        <v>13</v>
      </c>
    </row>
    <row r="31" spans="1:3" ht="15.75" thickBot="1" x14ac:dyDescent="0.3">
      <c r="A31" s="44" t="s">
        <v>14</v>
      </c>
      <c r="B31" s="47">
        <v>46203</v>
      </c>
      <c r="C31" s="45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Контракты</vt:lpstr>
      <vt:lpstr>Этапы</vt:lpstr>
      <vt:lpstr>Доп соглашения</vt:lpstr>
      <vt:lpstr>Акты выполненных работ </vt:lpstr>
      <vt:lpstr>Оплата работ </vt:lpstr>
      <vt:lpstr>Исполнение работ План</vt:lpstr>
      <vt:lpstr>Исполнение работ Факт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Иван Е. Колеватых</dc:creator>
  <cp:lastModifiedBy>Иван Колеватых</cp:lastModifiedBy>
  <dcterms:created xsi:type="dcterms:W3CDTF">2026-06-23T06:57:31Z</dcterms:created>
  <dcterms:modified xsi:type="dcterms:W3CDTF">2026-07-02T07:21:12Z</dcterms:modified>
</cp:coreProperties>
</file>