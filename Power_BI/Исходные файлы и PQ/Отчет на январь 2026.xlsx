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LAMER\Desktop\"/>
    </mc:Choice>
  </mc:AlternateContent>
  <xr:revisionPtr revIDLastSave="0" documentId="13_ncr:1_{F9CBB4BF-50C4-47C8-AC60-513504C800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онтракты" sheetId="1" r:id="rId1"/>
    <sheet name="Этапы" sheetId="2" r:id="rId2"/>
    <sheet name="Доп соглашения" sheetId="4" r:id="rId3"/>
    <sheet name="Акты выполненных работ " sheetId="3" r:id="rId4"/>
    <sheet name="Оплата работ 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2" l="1"/>
  <c r="E41" i="2"/>
  <c r="E42" i="2"/>
  <c r="E39" i="2"/>
  <c r="E36" i="2"/>
  <c r="E37" i="2"/>
  <c r="E38" i="2"/>
  <c r="E35" i="2"/>
  <c r="E32" i="2"/>
  <c r="E33" i="2"/>
  <c r="E34" i="2"/>
  <c r="E31" i="2"/>
  <c r="E30" i="2"/>
  <c r="E26" i="2"/>
  <c r="E27" i="2"/>
  <c r="E28" i="2"/>
  <c r="E29" i="2"/>
  <c r="E24" i="2"/>
  <c r="E25" i="2"/>
  <c r="E23" i="2"/>
  <c r="E20" i="2"/>
  <c r="E21" i="2"/>
  <c r="E22" i="2"/>
  <c r="E19" i="2"/>
  <c r="E16" i="2"/>
  <c r="E17" i="2"/>
  <c r="E18" i="2"/>
  <c r="E15" i="2"/>
  <c r="E12" i="2"/>
  <c r="E13" i="2"/>
  <c r="E14" i="2"/>
  <c r="E11" i="2"/>
  <c r="E8" i="2"/>
  <c r="E9" i="2"/>
  <c r="E10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<sst xmlns="http://schemas.openxmlformats.org/spreadsheetml/2006/main" count="146" uniqueCount="59">
  <si>
    <t xml:space="preserve">Номер контракт </t>
  </si>
  <si>
    <t>Дата контракта</t>
  </si>
  <si>
    <t>Название контракта</t>
  </si>
  <si>
    <t>Начальная максимальная цена контракта</t>
  </si>
  <si>
    <t>Стоимость заключения контракта</t>
  </si>
  <si>
    <t>1/26</t>
  </si>
  <si>
    <t>2/26</t>
  </si>
  <si>
    <t>3/26</t>
  </si>
  <si>
    <t>4/26</t>
  </si>
  <si>
    <t>5/26</t>
  </si>
  <si>
    <t>6/26</t>
  </si>
  <si>
    <t>7/26</t>
  </si>
  <si>
    <t>8/26</t>
  </si>
  <si>
    <t>9/26</t>
  </si>
  <si>
    <t>10/26</t>
  </si>
  <si>
    <t>Поисковые работы и бурение скважины для добычи золота в месте 1</t>
  </si>
  <si>
    <t>Поисковые работы и бурение скважины для добычи алмазов в месте 3</t>
  </si>
  <si>
    <t>Поисковые работы и бурение скважины для добычи золота в месте 4</t>
  </si>
  <si>
    <t>Поисковые работы и бурение скважины для добычи золота в месте 6</t>
  </si>
  <si>
    <t>Поисковые работы и бурение скважины для добычи золота в месте 7</t>
  </si>
  <si>
    <t>Поисковые работы и бурение скважины для добычи золота в месте 8</t>
  </si>
  <si>
    <t>Поисковые работы и бурение скважины для добычи алмазов в месте 10</t>
  </si>
  <si>
    <t xml:space="preserve">  Поисковые работы и бурение скважины для добычи золота в месте 2</t>
  </si>
  <si>
    <t xml:space="preserve">  Поисковые работы и бурение скважины для добычи золота в месте 5</t>
  </si>
  <si>
    <t xml:space="preserve">   Поисковые работы и бурение скважины для добычи золота в месте 9</t>
  </si>
  <si>
    <t>ООО ЗОЛОТО</t>
  </si>
  <si>
    <t>ООО БРИЛИАНТЫ</t>
  </si>
  <si>
    <t>ООО ДОБЫЧА</t>
  </si>
  <si>
    <t>ГК ГЕОЛОГИЯ</t>
  </si>
  <si>
    <t>ООО БУРИМ</t>
  </si>
  <si>
    <t>Подрядчик заключивший контракт</t>
  </si>
  <si>
    <t>Номер этапа</t>
  </si>
  <si>
    <t>Плановая дата начала</t>
  </si>
  <si>
    <t>Плановая дата окончания</t>
  </si>
  <si>
    <t>Стоимость этапа</t>
  </si>
  <si>
    <t>Дата акта</t>
  </si>
  <si>
    <t>Номер акта</t>
  </si>
  <si>
    <t>Общая сумма акта</t>
  </si>
  <si>
    <t>Сумма по субподрядчику</t>
  </si>
  <si>
    <t>Наименование субподрядчика</t>
  </si>
  <si>
    <t>ООО ПОМОГАЕМ</t>
  </si>
  <si>
    <t>ООО ДОБЫВАЕМ</t>
  </si>
  <si>
    <t>ООО КОПАЕМ</t>
  </si>
  <si>
    <t>ООО ПРОЕКТИРУЕМ</t>
  </si>
  <si>
    <t>ООО ПАРТНТЕР</t>
  </si>
  <si>
    <t>Принят аванс из общей суммы</t>
  </si>
  <si>
    <t>Дата соглашения</t>
  </si>
  <si>
    <t>Номер соглашения</t>
  </si>
  <si>
    <t>Краткое содержание</t>
  </si>
  <si>
    <t>Изменение стоимости</t>
  </si>
  <si>
    <t>Уточнение реквизитов</t>
  </si>
  <si>
    <t>Номер контракта</t>
  </si>
  <si>
    <t>Дата платежа</t>
  </si>
  <si>
    <t>Сумма оплаты</t>
  </si>
  <si>
    <t>Тип оплаты</t>
  </si>
  <si>
    <t>номер платежного поручения</t>
  </si>
  <si>
    <t>Аванс</t>
  </si>
  <si>
    <t>Минимальная предложенная цена</t>
  </si>
  <si>
    <t>Контракты с СМП для крупных заказов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</si>
</sst>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49" fontId="0" fillId="0" borderId="0" xfId="0" applyNumberFormat="1"/>
    <xf numFmtId="14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/>
    <xf numFmtId="164" fontId="0" fillId="0" borderId="1" xfId="1" applyFont="1" applyBorder="1"/>
    <xf numFmtId="0" fontId="0" fillId="0" borderId="0" xfId="0"/>
    <xf numFmtId="164" fontId="0" fillId="0" borderId="1" xfId="1" applyFon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0" xfId="0"/>
    <xf numFmtId="0" fontId="0" fillId="0" borderId="0" xfId="0" applyFill="1" applyBorder="1"/>
    <xf numFmtId="0" fontId="0" fillId="0" borderId="0" xfId="0" applyFill="1"/>
    <xf numFmtId="49" fontId="0" fillId="0" borderId="0" xfId="0" applyNumberFormat="1" applyFill="1"/>
    <xf numFmtId="0" fontId="0" fillId="0" borderId="0" xfId="0"/>
    <xf numFmtId="0" fontId="0" fillId="0" borderId="0" xfId="0"/>
    <xf numFmtId="0" fontId="0" fillId="0" borderId="1" xfId="0" applyBorder="1"/>
    <xf numFmtId="164" fontId="0" fillId="0" borderId="1" xfId="0" applyNumberFormat="1" applyFill="1" applyBorder="1"/>
    <xf numFmtId="0" fontId="0" fillId="0" borderId="0" xfId="0"/>
    <xf numFmtId="0" fontId="0" fillId="0" borderId="1" xfId="0" applyBorder="1"/>
    <xf numFmtId="14" fontId="0" fillId="0" borderId="1" xfId="0" applyNumberFormat="1" applyFill="1" applyBorder="1"/>
    <xf numFmtId="1" fontId="0" fillId="0" borderId="1" xfId="0" applyNumberFormat="1" applyFill="1" applyBorder="1"/>
    <xf numFmtId="0" fontId="0" fillId="0" borderId="1" xfId="0" applyFill="1" applyBorder="1"/>
    <xf numFmtId="0" fontId="0" fillId="0" borderId="1" xfId="0" applyFill="1" applyBorder="1"/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Fill="1" applyBorder="1"/>
    <xf numFmtId="0" fontId="0" fillId="0" borderId="1" xfId="0" quotePrefix="1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/>
    <xf numFmtId="0" fontId="0" fillId="0" borderId="1" xfId="0" applyFill="1" applyBorder="1" applyAlignment="1">
      <alignment wrapText="1"/>
    </xf>
    <xf numFmtId="164" fontId="2" fillId="0" borderId="1" xfId="1" applyFont="1" applyFill="1" applyBorder="1"/>
    <xf numFmtId="0" fontId="0" fillId="0" borderId="2" xfId="0" applyBorder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  <xf numFmtId="164" fontId="0" fillId="0" borderId="0" xfId="0" applyNumberFormat="1" applyBorder="1"/>
    <xf numFmtId="164" fontId="0" fillId="0" borderId="0" xfId="0" applyNumberForma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29"/>
  <sheetViews>
    <sheetView tabSelected="1" topLeftCell="D1" workbookViewId="0">
      <selection activeCell="L8" sqref="L8"/>
    </sheetView>
  </sheetViews>
  <sheetFormatPr defaultRowHeight="15" x14ac:dyDescent="0.25"/>
  <cols>
    <col min="1" max="1" width="16.28515625" bestFit="1" customWidth="1"/>
    <col min="2" max="2" width="15" bestFit="1" customWidth="1"/>
    <col min="3" max="3" width="69" customWidth="1"/>
    <col min="4" max="4" width="19.140625" customWidth="1"/>
    <col min="5" max="5" width="30.140625" customWidth="1"/>
    <col min="6" max="6" width="21.140625" style="6" customWidth="1"/>
    <col min="7" max="7" width="15.5703125" bestFit="1" customWidth="1"/>
    <col min="8" max="8" width="12.85546875" customWidth="1"/>
  </cols>
  <sheetData>
    <row r="3" spans="1:8" ht="75" x14ac:dyDescent="0.25">
      <c r="A3" s="4" t="s">
        <v>0</v>
      </c>
      <c r="B3" s="4" t="s">
        <v>1</v>
      </c>
      <c r="C3" s="4" t="s">
        <v>2</v>
      </c>
      <c r="D3" s="5" t="s">
        <v>3</v>
      </c>
      <c r="E3" s="5" t="s">
        <v>4</v>
      </c>
      <c r="F3" s="5" t="s">
        <v>30</v>
      </c>
      <c r="G3" s="5" t="s">
        <v>57</v>
      </c>
      <c r="H3" s="41" t="s">
        <v>58</v>
      </c>
    </row>
    <row r="4" spans="1:8" x14ac:dyDescent="0.25">
      <c r="A4" s="3" t="s">
        <v>5</v>
      </c>
      <c r="B4" s="2">
        <v>46034</v>
      </c>
      <c r="C4" s="30" t="s">
        <v>15</v>
      </c>
      <c r="D4" s="7">
        <v>5000000</v>
      </c>
      <c r="E4" s="7">
        <v>4500000</v>
      </c>
      <c r="F4" s="29" t="s">
        <v>25</v>
      </c>
      <c r="G4" s="7">
        <v>4450000</v>
      </c>
      <c r="H4" s="42">
        <v>0</v>
      </c>
    </row>
    <row r="5" spans="1:8" x14ac:dyDescent="0.25">
      <c r="A5" s="3" t="s">
        <v>6</v>
      </c>
      <c r="B5" s="2">
        <v>46035</v>
      </c>
      <c r="C5" s="30" t="s">
        <v>22</v>
      </c>
      <c r="D5" s="7">
        <v>10000000</v>
      </c>
      <c r="E5" s="7">
        <v>9000000</v>
      </c>
      <c r="F5" s="29" t="s">
        <v>25</v>
      </c>
      <c r="G5" s="7">
        <v>9000000</v>
      </c>
      <c r="H5" s="28">
        <v>1</v>
      </c>
    </row>
    <row r="6" spans="1:8" x14ac:dyDescent="0.25">
      <c r="A6" s="3" t="s">
        <v>7</v>
      </c>
      <c r="B6" s="2">
        <v>46036</v>
      </c>
      <c r="C6" s="30" t="s">
        <v>16</v>
      </c>
      <c r="D6" s="7">
        <v>12000000</v>
      </c>
      <c r="E6" s="7">
        <v>11200000</v>
      </c>
      <c r="F6" s="33" t="s">
        <v>26</v>
      </c>
      <c r="G6" s="7">
        <v>11200000</v>
      </c>
      <c r="H6" s="28">
        <v>1</v>
      </c>
    </row>
    <row r="7" spans="1:8" x14ac:dyDescent="0.25">
      <c r="A7" s="10" t="s">
        <v>8</v>
      </c>
      <c r="B7" s="2">
        <v>46037</v>
      </c>
      <c r="C7" s="5" t="s">
        <v>17</v>
      </c>
      <c r="D7" s="9">
        <v>4000000</v>
      </c>
      <c r="E7" s="9">
        <v>4000000</v>
      </c>
      <c r="F7" s="29" t="s">
        <v>27</v>
      </c>
      <c r="G7" s="9">
        <v>4000000</v>
      </c>
      <c r="H7" s="42">
        <v>0</v>
      </c>
    </row>
    <row r="8" spans="1:8" x14ac:dyDescent="0.25">
      <c r="A8" s="3" t="s">
        <v>9</v>
      </c>
      <c r="B8" s="2">
        <v>46038</v>
      </c>
      <c r="C8" s="30" t="s">
        <v>23</v>
      </c>
      <c r="D8" s="7">
        <v>5000000</v>
      </c>
      <c r="E8" s="7">
        <v>5000000</v>
      </c>
      <c r="F8" s="33" t="s">
        <v>28</v>
      </c>
      <c r="G8" s="7">
        <v>5000000</v>
      </c>
      <c r="H8" s="28">
        <v>1</v>
      </c>
    </row>
    <row r="9" spans="1:8" x14ac:dyDescent="0.25">
      <c r="A9" s="3" t="s">
        <v>10</v>
      </c>
      <c r="B9" s="2">
        <v>46039</v>
      </c>
      <c r="C9" s="30" t="s">
        <v>18</v>
      </c>
      <c r="D9" s="7">
        <v>20000000</v>
      </c>
      <c r="E9" s="7">
        <v>19500000</v>
      </c>
      <c r="F9" s="33" t="s">
        <v>28</v>
      </c>
      <c r="G9" s="7">
        <v>19500000</v>
      </c>
      <c r="H9" s="28">
        <v>1</v>
      </c>
    </row>
    <row r="10" spans="1:8" x14ac:dyDescent="0.25">
      <c r="A10" s="3" t="s">
        <v>11</v>
      </c>
      <c r="B10" s="2">
        <v>46040</v>
      </c>
      <c r="C10" s="30" t="s">
        <v>19</v>
      </c>
      <c r="D10" s="40">
        <v>6800000</v>
      </c>
      <c r="E10" s="7">
        <v>6800000</v>
      </c>
      <c r="F10" s="33" t="s">
        <v>28</v>
      </c>
      <c r="G10" s="7">
        <v>6800000</v>
      </c>
      <c r="H10" s="28">
        <v>1</v>
      </c>
    </row>
    <row r="11" spans="1:8" x14ac:dyDescent="0.25">
      <c r="A11" s="3" t="s">
        <v>12</v>
      </c>
      <c r="B11" s="2">
        <v>46041</v>
      </c>
      <c r="C11" s="30" t="s">
        <v>20</v>
      </c>
      <c r="D11" s="7">
        <v>9000000</v>
      </c>
      <c r="E11" s="7">
        <v>8600000</v>
      </c>
      <c r="F11" s="29" t="s">
        <v>25</v>
      </c>
      <c r="G11" s="7">
        <v>8600000</v>
      </c>
      <c r="H11" s="28">
        <v>1</v>
      </c>
    </row>
    <row r="12" spans="1:8" x14ac:dyDescent="0.25">
      <c r="A12" s="3" t="s">
        <v>13</v>
      </c>
      <c r="B12" s="2">
        <v>46042</v>
      </c>
      <c r="C12" s="30" t="s">
        <v>24</v>
      </c>
      <c r="D12" s="7">
        <v>6500000</v>
      </c>
      <c r="E12" s="7">
        <v>6000000</v>
      </c>
      <c r="F12" s="33" t="s">
        <v>29</v>
      </c>
      <c r="G12" s="7">
        <v>6000000</v>
      </c>
      <c r="H12" s="42">
        <v>0</v>
      </c>
    </row>
    <row r="13" spans="1:8" x14ac:dyDescent="0.25">
      <c r="A13" s="3" t="s">
        <v>14</v>
      </c>
      <c r="B13" s="2">
        <v>46043</v>
      </c>
      <c r="C13" s="30" t="s">
        <v>21</v>
      </c>
      <c r="D13" s="7">
        <v>15000000</v>
      </c>
      <c r="E13" s="7">
        <v>15000000</v>
      </c>
      <c r="F13" s="33" t="s">
        <v>28</v>
      </c>
      <c r="G13" s="7">
        <v>15000000</v>
      </c>
      <c r="H13" s="28">
        <v>1</v>
      </c>
    </row>
    <row r="14" spans="1:8" x14ac:dyDescent="0.25">
      <c r="A14" s="1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  <row r="20" spans="1:1" x14ac:dyDescent="0.25">
      <c r="A20" s="36"/>
    </row>
    <row r="21" spans="1:1" x14ac:dyDescent="0.25">
      <c r="A21" s="36"/>
    </row>
    <row r="22" spans="1:1" x14ac:dyDescent="0.25">
      <c r="A22" s="35"/>
    </row>
    <row r="23" spans="1:1" x14ac:dyDescent="0.25">
      <c r="A23" s="36"/>
    </row>
    <row r="24" spans="1:1" x14ac:dyDescent="0.25">
      <c r="A24" s="36"/>
    </row>
    <row r="25" spans="1:1" x14ac:dyDescent="0.25">
      <c r="A25" s="36"/>
    </row>
    <row r="26" spans="1:1" x14ac:dyDescent="0.25">
      <c r="A26" s="36"/>
    </row>
    <row r="27" spans="1:1" x14ac:dyDescent="0.25">
      <c r="A27" s="37"/>
    </row>
    <row r="28" spans="1:1" x14ac:dyDescent="0.25">
      <c r="A28" s="37"/>
    </row>
    <row r="29" spans="1:1" x14ac:dyDescent="0.25">
      <c r="A29" s="38"/>
    </row>
  </sheetData>
  <pageMargins left="0.7" right="0.7" top="0.75" bottom="0.75" header="0.3" footer="0.3"/>
  <pageSetup paperSize="9" orientation="portrait" r:id="rId1"/>
  <ignoredErrors>
    <ignoredError sqref="A4 A5:A8 A15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42"/>
  <sheetViews>
    <sheetView workbookViewId="0">
      <selection activeCell="F7" sqref="F7"/>
    </sheetView>
  </sheetViews>
  <sheetFormatPr defaultRowHeight="15" x14ac:dyDescent="0.25"/>
  <cols>
    <col min="1" max="1" width="16.28515625" bestFit="1" customWidth="1"/>
    <col min="2" max="2" width="14.42578125" customWidth="1"/>
    <col min="3" max="3" width="25.5703125" customWidth="1"/>
    <col min="4" max="4" width="26.7109375" customWidth="1"/>
    <col min="5" max="5" width="26.42578125" customWidth="1"/>
    <col min="6" max="6" width="15.5703125" bestFit="1" customWidth="1"/>
    <col min="7" max="9" width="13.140625" bestFit="1" customWidth="1"/>
  </cols>
  <sheetData>
    <row r="2" spans="1:9" ht="53.25" customHeight="1" x14ac:dyDescent="0.25">
      <c r="A2" s="11" t="s">
        <v>0</v>
      </c>
      <c r="B2" s="11" t="s">
        <v>31</v>
      </c>
      <c r="C2" s="11" t="s">
        <v>32</v>
      </c>
      <c r="D2" s="11" t="s">
        <v>33</v>
      </c>
      <c r="E2" s="12" t="s">
        <v>34</v>
      </c>
    </row>
    <row r="3" spans="1:9" x14ac:dyDescent="0.25">
      <c r="A3" s="3" t="s">
        <v>5</v>
      </c>
      <c r="B3" s="29">
        <v>1</v>
      </c>
      <c r="C3" s="2">
        <v>46034</v>
      </c>
      <c r="D3" s="2">
        <v>46112</v>
      </c>
      <c r="E3" s="13">
        <f>Контракты!$E$4/4</f>
        <v>1125000</v>
      </c>
      <c r="F3" s="44"/>
      <c r="G3" s="43"/>
    </row>
    <row r="4" spans="1:9" s="8" customFormat="1" x14ac:dyDescent="0.25">
      <c r="A4" s="3" t="s">
        <v>5</v>
      </c>
      <c r="B4" s="29">
        <v>2</v>
      </c>
      <c r="C4" s="2">
        <v>46113</v>
      </c>
      <c r="D4" s="2">
        <v>46203</v>
      </c>
      <c r="E4" s="13">
        <f>Контракты!$E$4/4</f>
        <v>1125000</v>
      </c>
      <c r="F4" s="44"/>
      <c r="G4" s="43"/>
    </row>
    <row r="5" spans="1:9" s="8" customFormat="1" x14ac:dyDescent="0.25">
      <c r="A5" s="3" t="s">
        <v>5</v>
      </c>
      <c r="B5" s="29">
        <v>3</v>
      </c>
      <c r="C5" s="2">
        <v>46204</v>
      </c>
      <c r="D5" s="2">
        <v>46295</v>
      </c>
      <c r="E5" s="13">
        <f>Контракты!$E$4/4</f>
        <v>1125000</v>
      </c>
      <c r="F5" s="44"/>
      <c r="G5" s="43"/>
    </row>
    <row r="6" spans="1:9" s="8" customFormat="1" x14ac:dyDescent="0.25">
      <c r="A6" s="3" t="s">
        <v>5</v>
      </c>
      <c r="B6" s="33">
        <v>4</v>
      </c>
      <c r="C6" s="2">
        <v>46296</v>
      </c>
      <c r="D6" s="2">
        <v>46371</v>
      </c>
      <c r="E6" s="13">
        <f>Контракты!$E$4/4</f>
        <v>1125000</v>
      </c>
      <c r="F6" s="44"/>
      <c r="G6" s="43"/>
    </row>
    <row r="7" spans="1:9" x14ac:dyDescent="0.25">
      <c r="A7" s="3" t="s">
        <v>6</v>
      </c>
      <c r="B7" s="29">
        <v>1</v>
      </c>
      <c r="C7" s="2">
        <v>46035</v>
      </c>
      <c r="D7" s="2">
        <v>46112</v>
      </c>
      <c r="E7" s="13">
        <f>Контракты!$E$5/4</f>
        <v>2250000</v>
      </c>
      <c r="F7" s="45"/>
      <c r="G7" s="43"/>
    </row>
    <row r="8" spans="1:9" s="8" customFormat="1" x14ac:dyDescent="0.25">
      <c r="A8" s="3" t="s">
        <v>6</v>
      </c>
      <c r="B8" s="29">
        <v>2</v>
      </c>
      <c r="C8" s="2">
        <v>46113</v>
      </c>
      <c r="D8" s="2">
        <v>46203</v>
      </c>
      <c r="E8" s="13">
        <f>Контракты!$E$5/4</f>
        <v>2250000</v>
      </c>
      <c r="F8" s="45"/>
      <c r="G8" s="43"/>
      <c r="H8" s="43"/>
      <c r="I8" s="43"/>
    </row>
    <row r="9" spans="1:9" s="8" customFormat="1" x14ac:dyDescent="0.25">
      <c r="A9" s="3" t="s">
        <v>6</v>
      </c>
      <c r="B9" s="29">
        <v>3</v>
      </c>
      <c r="C9" s="2">
        <v>46204</v>
      </c>
      <c r="D9" s="2">
        <v>46295</v>
      </c>
      <c r="E9" s="13">
        <f>Контракты!$E$5/4</f>
        <v>2250000</v>
      </c>
      <c r="F9" s="45"/>
      <c r="G9" s="43"/>
    </row>
    <row r="10" spans="1:9" s="8" customFormat="1" x14ac:dyDescent="0.25">
      <c r="A10" s="3" t="s">
        <v>6</v>
      </c>
      <c r="B10" s="33">
        <v>4</v>
      </c>
      <c r="C10" s="2">
        <v>46296</v>
      </c>
      <c r="D10" s="2">
        <v>46371</v>
      </c>
      <c r="E10" s="13">
        <f>Контракты!$E$5/4</f>
        <v>2250000</v>
      </c>
      <c r="F10" s="45"/>
      <c r="G10" s="43"/>
    </row>
    <row r="11" spans="1:9" x14ac:dyDescent="0.25">
      <c r="A11" s="3" t="s">
        <v>7</v>
      </c>
      <c r="B11" s="29">
        <v>1</v>
      </c>
      <c r="C11" s="2">
        <v>46036</v>
      </c>
      <c r="D11" s="2">
        <v>46112</v>
      </c>
      <c r="E11" s="13">
        <f>Контракты!$E$6/4</f>
        <v>2800000</v>
      </c>
      <c r="F11" s="45"/>
      <c r="G11" s="43"/>
    </row>
    <row r="12" spans="1:9" s="8" customFormat="1" x14ac:dyDescent="0.25">
      <c r="A12" s="3" t="s">
        <v>7</v>
      </c>
      <c r="B12" s="29">
        <v>2</v>
      </c>
      <c r="C12" s="2">
        <v>46113</v>
      </c>
      <c r="D12" s="2">
        <v>46203</v>
      </c>
      <c r="E12" s="13">
        <f>Контракты!$E$6/4</f>
        <v>2800000</v>
      </c>
      <c r="F12" s="45"/>
      <c r="G12" s="43"/>
    </row>
    <row r="13" spans="1:9" s="8" customFormat="1" x14ac:dyDescent="0.25">
      <c r="A13" s="3" t="s">
        <v>7</v>
      </c>
      <c r="B13" s="29">
        <v>3</v>
      </c>
      <c r="C13" s="2">
        <v>46204</v>
      </c>
      <c r="D13" s="2">
        <v>46295</v>
      </c>
      <c r="E13" s="13">
        <f>Контракты!$E$6/4</f>
        <v>2800000</v>
      </c>
      <c r="F13" s="45"/>
      <c r="G13" s="43"/>
    </row>
    <row r="14" spans="1:9" s="8" customFormat="1" x14ac:dyDescent="0.25">
      <c r="A14" s="3" t="s">
        <v>7</v>
      </c>
      <c r="B14" s="33">
        <v>4</v>
      </c>
      <c r="C14" s="2">
        <v>46296</v>
      </c>
      <c r="D14" s="2">
        <v>46371</v>
      </c>
      <c r="E14" s="13">
        <f>Контракты!$E$6/4</f>
        <v>2800000</v>
      </c>
      <c r="F14" s="45"/>
      <c r="G14" s="43"/>
    </row>
    <row r="15" spans="1:9" s="8" customFormat="1" x14ac:dyDescent="0.25">
      <c r="A15" s="10" t="s">
        <v>8</v>
      </c>
      <c r="B15" s="29">
        <v>1</v>
      </c>
      <c r="C15" s="2">
        <v>46037</v>
      </c>
      <c r="D15" s="2">
        <v>46112</v>
      </c>
      <c r="E15" s="13">
        <f>Контракты!$E$7/4</f>
        <v>1000000</v>
      </c>
      <c r="F15" s="45"/>
      <c r="G15" s="43"/>
    </row>
    <row r="16" spans="1:9" s="8" customFormat="1" x14ac:dyDescent="0.25">
      <c r="A16" s="10" t="s">
        <v>8</v>
      </c>
      <c r="B16" s="29">
        <v>2</v>
      </c>
      <c r="C16" s="2">
        <v>46113</v>
      </c>
      <c r="D16" s="2">
        <v>46203</v>
      </c>
      <c r="E16" s="13">
        <f>Контракты!$E$7/4</f>
        <v>1000000</v>
      </c>
      <c r="F16" s="45"/>
      <c r="G16" s="43"/>
    </row>
    <row r="17" spans="1:8" s="8" customFormat="1" x14ac:dyDescent="0.25">
      <c r="A17" s="10" t="s">
        <v>8</v>
      </c>
      <c r="B17" s="29">
        <v>3</v>
      </c>
      <c r="C17" s="2">
        <v>46204</v>
      </c>
      <c r="D17" s="2">
        <v>46295</v>
      </c>
      <c r="E17" s="13">
        <f>Контракты!$E$7/4</f>
        <v>1000000</v>
      </c>
      <c r="F17" s="45"/>
      <c r="G17" s="43"/>
    </row>
    <row r="18" spans="1:8" x14ac:dyDescent="0.25">
      <c r="A18" s="10" t="s">
        <v>8</v>
      </c>
      <c r="B18" s="33">
        <v>4</v>
      </c>
      <c r="C18" s="2">
        <v>46296</v>
      </c>
      <c r="D18" s="2">
        <v>46371</v>
      </c>
      <c r="E18" s="13">
        <f>Контракты!$E$7/4</f>
        <v>1000000</v>
      </c>
      <c r="F18" s="45"/>
      <c r="G18" s="43"/>
    </row>
    <row r="19" spans="1:8" s="8" customFormat="1" x14ac:dyDescent="0.25">
      <c r="A19" s="3" t="s">
        <v>9</v>
      </c>
      <c r="B19" s="29">
        <v>1</v>
      </c>
      <c r="C19" s="2">
        <v>46038</v>
      </c>
      <c r="D19" s="2">
        <v>46112</v>
      </c>
      <c r="E19" s="13">
        <f>Контракты!$E$8/4</f>
        <v>1250000</v>
      </c>
      <c r="F19" s="45"/>
      <c r="G19" s="43"/>
    </row>
    <row r="20" spans="1:8" s="8" customFormat="1" x14ac:dyDescent="0.25">
      <c r="A20" s="3" t="s">
        <v>9</v>
      </c>
      <c r="B20" s="29">
        <v>2</v>
      </c>
      <c r="C20" s="2">
        <v>46113</v>
      </c>
      <c r="D20" s="2">
        <v>46203</v>
      </c>
      <c r="E20" s="13">
        <f>Контракты!$E$8/4</f>
        <v>1250000</v>
      </c>
      <c r="F20" s="45"/>
      <c r="G20" s="43"/>
    </row>
    <row r="21" spans="1:8" s="8" customFormat="1" x14ac:dyDescent="0.25">
      <c r="A21" s="3" t="s">
        <v>9</v>
      </c>
      <c r="B21" s="29">
        <v>3</v>
      </c>
      <c r="C21" s="2">
        <v>46204</v>
      </c>
      <c r="D21" s="2">
        <v>46295</v>
      </c>
      <c r="E21" s="13">
        <f>Контракты!$E$8/4</f>
        <v>1250000</v>
      </c>
      <c r="F21" s="45"/>
      <c r="G21" s="43"/>
    </row>
    <row r="22" spans="1:8" x14ac:dyDescent="0.25">
      <c r="A22" s="3" t="s">
        <v>9</v>
      </c>
      <c r="B22" s="33">
        <v>4</v>
      </c>
      <c r="C22" s="2">
        <v>46296</v>
      </c>
      <c r="D22" s="2">
        <v>46371</v>
      </c>
      <c r="E22" s="13">
        <f>Контракты!$E$8/4</f>
        <v>1250000</v>
      </c>
      <c r="F22" s="45"/>
      <c r="G22" s="43"/>
    </row>
    <row r="23" spans="1:8" s="8" customFormat="1" x14ac:dyDescent="0.25">
      <c r="A23" s="3" t="s">
        <v>10</v>
      </c>
      <c r="B23" s="29">
        <v>1</v>
      </c>
      <c r="C23" s="2">
        <v>46039</v>
      </c>
      <c r="D23" s="2">
        <v>46112</v>
      </c>
      <c r="E23" s="13">
        <f>Контракты!$E$9/4</f>
        <v>4875000</v>
      </c>
      <c r="F23" s="45"/>
      <c r="G23" s="43"/>
    </row>
    <row r="24" spans="1:8" s="8" customFormat="1" x14ac:dyDescent="0.25">
      <c r="A24" s="3" t="s">
        <v>10</v>
      </c>
      <c r="B24" s="29">
        <v>2</v>
      </c>
      <c r="C24" s="2">
        <v>46113</v>
      </c>
      <c r="D24" s="2">
        <v>46203</v>
      </c>
      <c r="E24" s="13">
        <f>Контракты!$E$9/4</f>
        <v>4875000</v>
      </c>
      <c r="F24" s="45"/>
      <c r="G24" s="43"/>
    </row>
    <row r="25" spans="1:8" s="8" customFormat="1" x14ac:dyDescent="0.25">
      <c r="A25" s="3" t="s">
        <v>10</v>
      </c>
      <c r="B25" s="29">
        <v>3</v>
      </c>
      <c r="C25" s="2">
        <v>46204</v>
      </c>
      <c r="D25" s="2">
        <v>46295</v>
      </c>
      <c r="E25" s="13">
        <f>Контракты!$E$9/4</f>
        <v>4875000</v>
      </c>
      <c r="F25" s="45"/>
      <c r="G25" s="43"/>
    </row>
    <row r="26" spans="1:8" x14ac:dyDescent="0.25">
      <c r="A26" s="3" t="s">
        <v>10</v>
      </c>
      <c r="B26" s="33">
        <v>4</v>
      </c>
      <c r="C26" s="2">
        <v>46296</v>
      </c>
      <c r="D26" s="2">
        <v>46371</v>
      </c>
      <c r="E26" s="13">
        <f>Контракты!$E$9/4</f>
        <v>4875000</v>
      </c>
      <c r="F26" s="45"/>
      <c r="G26" s="43"/>
    </row>
    <row r="27" spans="1:8" s="8" customFormat="1" x14ac:dyDescent="0.25">
      <c r="A27" s="3" t="s">
        <v>11</v>
      </c>
      <c r="B27" s="29">
        <v>1</v>
      </c>
      <c r="C27" s="2">
        <v>46040</v>
      </c>
      <c r="D27" s="2">
        <v>46112</v>
      </c>
      <c r="E27" s="13">
        <f>Контракты!$E$10/4</f>
        <v>1700000</v>
      </c>
      <c r="F27" s="45"/>
      <c r="G27" s="43"/>
    </row>
    <row r="28" spans="1:8" s="8" customFormat="1" x14ac:dyDescent="0.25">
      <c r="A28" s="3" t="s">
        <v>11</v>
      </c>
      <c r="B28" s="29">
        <v>2</v>
      </c>
      <c r="C28" s="2">
        <v>46113</v>
      </c>
      <c r="D28" s="2">
        <v>46203</v>
      </c>
      <c r="E28" s="13">
        <f>Контракты!$E$10/4</f>
        <v>1700000</v>
      </c>
      <c r="F28" s="45"/>
      <c r="G28" s="43"/>
      <c r="H28" s="43"/>
    </row>
    <row r="29" spans="1:8" s="8" customFormat="1" x14ac:dyDescent="0.25">
      <c r="A29" s="3" t="s">
        <v>11</v>
      </c>
      <c r="B29" s="29">
        <v>3</v>
      </c>
      <c r="C29" s="2">
        <v>46204</v>
      </c>
      <c r="D29" s="2">
        <v>46295</v>
      </c>
      <c r="E29" s="13">
        <f>Контракты!$E$10/4</f>
        <v>1700000</v>
      </c>
      <c r="F29" s="45"/>
      <c r="G29" s="43"/>
    </row>
    <row r="30" spans="1:8" x14ac:dyDescent="0.25">
      <c r="A30" s="3" t="s">
        <v>11</v>
      </c>
      <c r="B30" s="33">
        <v>4</v>
      </c>
      <c r="C30" s="2">
        <v>46296</v>
      </c>
      <c r="D30" s="2">
        <v>46371</v>
      </c>
      <c r="E30" s="13">
        <f>Контракты!$E$10/4</f>
        <v>1700000</v>
      </c>
      <c r="F30" s="45"/>
      <c r="G30" s="43"/>
    </row>
    <row r="31" spans="1:8" s="8" customFormat="1" x14ac:dyDescent="0.25">
      <c r="A31" s="3" t="s">
        <v>12</v>
      </c>
      <c r="B31" s="29">
        <v>1</v>
      </c>
      <c r="C31" s="2">
        <v>46041</v>
      </c>
      <c r="D31" s="2">
        <v>46112</v>
      </c>
      <c r="E31" s="13">
        <f>Контракты!$E$11/4</f>
        <v>2150000</v>
      </c>
      <c r="F31" s="45"/>
      <c r="G31" s="43"/>
    </row>
    <row r="32" spans="1:8" s="8" customFormat="1" x14ac:dyDescent="0.25">
      <c r="A32" s="3" t="s">
        <v>12</v>
      </c>
      <c r="B32" s="29">
        <v>2</v>
      </c>
      <c r="C32" s="2">
        <v>46113</v>
      </c>
      <c r="D32" s="2">
        <v>46203</v>
      </c>
      <c r="E32" s="13">
        <f>Контракты!$E$11/4</f>
        <v>2150000</v>
      </c>
      <c r="F32" s="45"/>
      <c r="G32" s="43"/>
    </row>
    <row r="33" spans="1:7" s="8" customFormat="1" x14ac:dyDescent="0.25">
      <c r="A33" s="3" t="s">
        <v>12</v>
      </c>
      <c r="B33" s="29">
        <v>3</v>
      </c>
      <c r="C33" s="2">
        <v>46204</v>
      </c>
      <c r="D33" s="2">
        <v>46295</v>
      </c>
      <c r="E33" s="13">
        <f>Контракты!$E$11/4</f>
        <v>2150000</v>
      </c>
      <c r="F33" s="45"/>
      <c r="G33" s="43"/>
    </row>
    <row r="34" spans="1:7" x14ac:dyDescent="0.25">
      <c r="A34" s="3" t="s">
        <v>12</v>
      </c>
      <c r="B34" s="33">
        <v>4</v>
      </c>
      <c r="C34" s="2">
        <v>46296</v>
      </c>
      <c r="D34" s="2">
        <v>46371</v>
      </c>
      <c r="E34" s="13">
        <f>Контракты!$E$11/4</f>
        <v>2150000</v>
      </c>
      <c r="F34" s="45"/>
      <c r="G34" s="43"/>
    </row>
    <row r="35" spans="1:7" s="8" customFormat="1" x14ac:dyDescent="0.25">
      <c r="A35" s="3" t="s">
        <v>13</v>
      </c>
      <c r="B35" s="29">
        <v>1</v>
      </c>
      <c r="C35" s="2">
        <v>46042</v>
      </c>
      <c r="D35" s="2">
        <v>46112</v>
      </c>
      <c r="E35" s="13">
        <f>Контракты!$E$12/4</f>
        <v>1500000</v>
      </c>
      <c r="F35" s="45"/>
      <c r="G35" s="43"/>
    </row>
    <row r="36" spans="1:7" s="8" customFormat="1" x14ac:dyDescent="0.25">
      <c r="A36" s="3" t="s">
        <v>13</v>
      </c>
      <c r="B36" s="29">
        <v>2</v>
      </c>
      <c r="C36" s="2">
        <v>46113</v>
      </c>
      <c r="D36" s="2">
        <v>46203</v>
      </c>
      <c r="E36" s="13">
        <f>Контракты!$E$12/4</f>
        <v>1500000</v>
      </c>
      <c r="F36" s="45"/>
      <c r="G36" s="43"/>
    </row>
    <row r="37" spans="1:7" s="8" customFormat="1" x14ac:dyDescent="0.25">
      <c r="A37" s="3" t="s">
        <v>13</v>
      </c>
      <c r="B37" s="29">
        <v>3</v>
      </c>
      <c r="C37" s="2">
        <v>46204</v>
      </c>
      <c r="D37" s="2">
        <v>46295</v>
      </c>
      <c r="E37" s="13">
        <f>Контракты!$E$12/4</f>
        <v>1500000</v>
      </c>
      <c r="F37" s="45"/>
      <c r="G37" s="43"/>
    </row>
    <row r="38" spans="1:7" x14ac:dyDescent="0.25">
      <c r="A38" s="3" t="s">
        <v>13</v>
      </c>
      <c r="B38" s="33">
        <v>4</v>
      </c>
      <c r="C38" s="2">
        <v>46296</v>
      </c>
      <c r="D38" s="2">
        <v>46371</v>
      </c>
      <c r="E38" s="13">
        <f>Контракты!$E$12/4</f>
        <v>1500000</v>
      </c>
      <c r="F38" s="45"/>
      <c r="G38" s="43"/>
    </row>
    <row r="39" spans="1:7" x14ac:dyDescent="0.25">
      <c r="A39" s="3" t="s">
        <v>14</v>
      </c>
      <c r="B39" s="29">
        <v>1</v>
      </c>
      <c r="C39" s="2">
        <v>46043</v>
      </c>
      <c r="D39" s="2">
        <v>46112</v>
      </c>
      <c r="E39" s="13">
        <f>Контракты!$E$13/4</f>
        <v>3750000</v>
      </c>
      <c r="F39" s="45"/>
      <c r="G39" s="43"/>
    </row>
    <row r="40" spans="1:7" s="8" customFormat="1" x14ac:dyDescent="0.25">
      <c r="A40" s="3" t="s">
        <v>14</v>
      </c>
      <c r="B40" s="29">
        <v>2</v>
      </c>
      <c r="C40" s="2">
        <v>46113</v>
      </c>
      <c r="D40" s="2">
        <v>46203</v>
      </c>
      <c r="E40" s="13">
        <f>Контракты!$E$13/4</f>
        <v>3750000</v>
      </c>
      <c r="F40" s="45"/>
      <c r="G40" s="43"/>
    </row>
    <row r="41" spans="1:7" s="8" customFormat="1" x14ac:dyDescent="0.25">
      <c r="A41" s="3" t="s">
        <v>14</v>
      </c>
      <c r="B41" s="29">
        <v>3</v>
      </c>
      <c r="C41" s="2">
        <v>46204</v>
      </c>
      <c r="D41" s="2">
        <v>46295</v>
      </c>
      <c r="E41" s="13">
        <f>Контракты!$E$13/4</f>
        <v>3750000</v>
      </c>
      <c r="F41" s="45"/>
      <c r="G41" s="43"/>
    </row>
    <row r="42" spans="1:7" s="8" customFormat="1" x14ac:dyDescent="0.25">
      <c r="A42" s="3" t="s">
        <v>14</v>
      </c>
      <c r="B42" s="33">
        <v>4</v>
      </c>
      <c r="C42" s="2">
        <v>46296</v>
      </c>
      <c r="D42" s="2">
        <v>46371</v>
      </c>
      <c r="E42" s="13">
        <f>Контракты!$E$13/4</f>
        <v>3750000</v>
      </c>
      <c r="F42" s="45"/>
      <c r="G42" s="4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4"/>
  <sheetViews>
    <sheetView workbookViewId="0">
      <selection activeCell="J9" sqref="J9"/>
    </sheetView>
  </sheetViews>
  <sheetFormatPr defaultRowHeight="15" x14ac:dyDescent="0.25"/>
  <cols>
    <col min="1" max="1" width="16.28515625" bestFit="1" customWidth="1"/>
    <col min="2" max="2" width="18.5703125" bestFit="1" customWidth="1"/>
    <col min="3" max="3" width="18.5703125" style="14" customWidth="1"/>
    <col min="4" max="4" width="40.42578125" style="18" bestFit="1" customWidth="1"/>
    <col min="5" max="5" width="26.85546875" customWidth="1"/>
  </cols>
  <sheetData>
    <row r="2" spans="1:6" x14ac:dyDescent="0.25">
      <c r="A2" s="4" t="s">
        <v>0</v>
      </c>
      <c r="B2" s="29" t="s">
        <v>47</v>
      </c>
      <c r="C2" s="29" t="s">
        <v>46</v>
      </c>
      <c r="D2" s="29" t="s">
        <v>48</v>
      </c>
      <c r="E2" s="29" t="s">
        <v>49</v>
      </c>
    </row>
    <row r="3" spans="1:6" x14ac:dyDescent="0.25">
      <c r="A3" s="29" t="s">
        <v>5</v>
      </c>
      <c r="B3" s="29">
        <v>1</v>
      </c>
      <c r="C3" s="31">
        <v>46038</v>
      </c>
      <c r="D3" s="34" t="s">
        <v>50</v>
      </c>
      <c r="E3" s="29">
        <v>0</v>
      </c>
      <c r="F3" s="28"/>
    </row>
    <row r="4" spans="1:6" x14ac:dyDescent="0.25">
      <c r="A4" s="29" t="s">
        <v>9</v>
      </c>
      <c r="B4" s="29">
        <v>1</v>
      </c>
      <c r="C4" s="31">
        <v>46042</v>
      </c>
      <c r="D4" s="34" t="s">
        <v>50</v>
      </c>
      <c r="E4" s="29">
        <v>0</v>
      </c>
      <c r="F4" s="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23"/>
  <sheetViews>
    <sheetView workbookViewId="0">
      <selection activeCell="G19" sqref="G19:H19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28515625" style="28" customWidth="1"/>
    <col min="4" max="4" width="13.140625" customWidth="1"/>
    <col min="5" max="5" width="20.28515625" style="14" customWidth="1"/>
    <col min="6" max="6" width="17.85546875" bestFit="1" customWidth="1"/>
    <col min="7" max="7" width="24.42578125" bestFit="1" customWidth="1"/>
    <col min="8" max="8" width="26.5703125" customWidth="1"/>
  </cols>
  <sheetData>
    <row r="2" spans="1:8" ht="30" x14ac:dyDescent="0.25">
      <c r="A2" s="5" t="s">
        <v>0</v>
      </c>
      <c r="B2" s="30" t="s">
        <v>36</v>
      </c>
      <c r="C2" s="30" t="s">
        <v>31</v>
      </c>
      <c r="D2" s="30" t="s">
        <v>35</v>
      </c>
      <c r="E2" s="30" t="s">
        <v>45</v>
      </c>
      <c r="F2" s="30" t="s">
        <v>37</v>
      </c>
      <c r="G2" s="39" t="s">
        <v>38</v>
      </c>
      <c r="H2" s="39" t="s">
        <v>39</v>
      </c>
    </row>
    <row r="3" spans="1:8" x14ac:dyDescent="0.25">
      <c r="A3" s="3" t="s">
        <v>5</v>
      </c>
      <c r="B3" s="29">
        <v>1</v>
      </c>
      <c r="C3" s="29">
        <v>1</v>
      </c>
      <c r="D3" s="31">
        <v>46093</v>
      </c>
      <c r="E3" s="32">
        <v>337500</v>
      </c>
      <c r="F3" s="32">
        <v>1125000</v>
      </c>
      <c r="G3" s="32">
        <v>112500</v>
      </c>
      <c r="H3" s="29" t="s">
        <v>41</v>
      </c>
    </row>
    <row r="4" spans="1:8" x14ac:dyDescent="0.25">
      <c r="A4" s="3" t="s">
        <v>6</v>
      </c>
      <c r="B4" s="29">
        <v>1</v>
      </c>
      <c r="C4" s="29">
        <v>1</v>
      </c>
      <c r="D4" s="31">
        <v>46093</v>
      </c>
      <c r="E4" s="32">
        <v>675000</v>
      </c>
      <c r="F4" s="32">
        <v>2250000</v>
      </c>
      <c r="G4" s="32">
        <v>337500</v>
      </c>
      <c r="H4" s="29" t="s">
        <v>40</v>
      </c>
    </row>
    <row r="5" spans="1:8" x14ac:dyDescent="0.25">
      <c r="A5" s="3" t="s">
        <v>7</v>
      </c>
      <c r="B5" s="29">
        <v>1</v>
      </c>
      <c r="C5" s="29">
        <v>1</v>
      </c>
      <c r="D5" s="31">
        <v>46093</v>
      </c>
      <c r="E5" s="32">
        <v>840000</v>
      </c>
      <c r="F5" s="32">
        <v>2800000</v>
      </c>
      <c r="G5" s="32">
        <v>280000</v>
      </c>
      <c r="H5" s="29" t="s">
        <v>42</v>
      </c>
    </row>
    <row r="6" spans="1:8" x14ac:dyDescent="0.25">
      <c r="A6" s="10" t="s">
        <v>8</v>
      </c>
      <c r="B6" s="33">
        <v>1</v>
      </c>
      <c r="C6" s="33">
        <v>1</v>
      </c>
      <c r="D6" s="31">
        <v>46093</v>
      </c>
      <c r="E6" s="32">
        <v>300000</v>
      </c>
      <c r="F6" s="32">
        <v>1000000</v>
      </c>
      <c r="G6" s="32">
        <v>150000</v>
      </c>
      <c r="H6" s="29" t="s">
        <v>44</v>
      </c>
    </row>
    <row r="7" spans="1:8" x14ac:dyDescent="0.25">
      <c r="A7" s="3" t="s">
        <v>9</v>
      </c>
      <c r="B7" s="33">
        <v>1</v>
      </c>
      <c r="C7" s="33">
        <v>1</v>
      </c>
      <c r="D7" s="31">
        <v>46093</v>
      </c>
      <c r="E7" s="32">
        <v>375000</v>
      </c>
      <c r="F7" s="32">
        <v>1250000</v>
      </c>
      <c r="G7" s="32">
        <v>187500</v>
      </c>
      <c r="H7" s="29" t="s">
        <v>43</v>
      </c>
    </row>
    <row r="8" spans="1:8" x14ac:dyDescent="0.25">
      <c r="A8" s="3" t="s">
        <v>10</v>
      </c>
      <c r="B8" s="33">
        <v>1</v>
      </c>
      <c r="C8" s="33">
        <v>1</v>
      </c>
      <c r="D8" s="31">
        <v>46093</v>
      </c>
      <c r="E8" s="32">
        <v>1462500</v>
      </c>
      <c r="F8" s="32">
        <v>4875000</v>
      </c>
      <c r="G8" s="32">
        <v>731250</v>
      </c>
      <c r="H8" s="29" t="s">
        <v>29</v>
      </c>
    </row>
    <row r="9" spans="1:8" x14ac:dyDescent="0.25">
      <c r="A9" s="3" t="s">
        <v>11</v>
      </c>
      <c r="B9" s="33">
        <v>1</v>
      </c>
      <c r="C9" s="33">
        <v>1</v>
      </c>
      <c r="D9" s="31">
        <v>46093</v>
      </c>
      <c r="E9" s="32">
        <v>510000</v>
      </c>
      <c r="F9" s="32">
        <v>1700000</v>
      </c>
      <c r="G9" s="32">
        <v>255000</v>
      </c>
      <c r="H9" s="29" t="s">
        <v>41</v>
      </c>
    </row>
    <row r="10" spans="1:8" x14ac:dyDescent="0.25">
      <c r="A10" s="3" t="s">
        <v>12</v>
      </c>
      <c r="B10" s="33">
        <v>1</v>
      </c>
      <c r="C10" s="33">
        <v>1</v>
      </c>
      <c r="D10" s="31">
        <v>46093</v>
      </c>
      <c r="E10" s="32">
        <v>645000</v>
      </c>
      <c r="F10" s="32">
        <v>2150000</v>
      </c>
      <c r="G10" s="32">
        <v>107500</v>
      </c>
      <c r="H10" s="29" t="s">
        <v>40</v>
      </c>
    </row>
    <row r="11" spans="1:8" x14ac:dyDescent="0.25">
      <c r="A11" s="3" t="s">
        <v>13</v>
      </c>
      <c r="B11" s="33">
        <v>1</v>
      </c>
      <c r="C11" s="33">
        <v>1</v>
      </c>
      <c r="D11" s="31">
        <v>46093</v>
      </c>
      <c r="E11" s="32">
        <v>450000</v>
      </c>
      <c r="F11" s="32">
        <v>1500000</v>
      </c>
      <c r="G11" s="32">
        <v>225000</v>
      </c>
      <c r="H11" s="29" t="s">
        <v>42</v>
      </c>
    </row>
    <row r="12" spans="1:8" x14ac:dyDescent="0.25">
      <c r="A12" s="3" t="s">
        <v>14</v>
      </c>
      <c r="B12" s="33">
        <v>1</v>
      </c>
      <c r="C12" s="33">
        <v>1</v>
      </c>
      <c r="D12" s="31">
        <v>46093</v>
      </c>
      <c r="E12" s="32">
        <v>1125000</v>
      </c>
      <c r="F12" s="32">
        <v>3750000</v>
      </c>
      <c r="G12" s="32">
        <v>187500</v>
      </c>
      <c r="H12" s="29" t="s">
        <v>42</v>
      </c>
    </row>
    <row r="13" spans="1:8" x14ac:dyDescent="0.25">
      <c r="A13" s="38"/>
      <c r="B13" s="38"/>
      <c r="C13" s="38"/>
      <c r="D13" s="38"/>
      <c r="E13" s="38"/>
      <c r="F13" s="38"/>
      <c r="G13" s="38"/>
      <c r="H13" s="38"/>
    </row>
    <row r="18" spans="1:5" x14ac:dyDescent="0.25">
      <c r="A18" s="16"/>
      <c r="B18" s="16"/>
      <c r="C18" s="16"/>
      <c r="D18" s="17"/>
      <c r="E18" s="17"/>
    </row>
    <row r="19" spans="1:5" x14ac:dyDescent="0.25">
      <c r="A19" s="16"/>
      <c r="B19" s="16"/>
      <c r="C19" s="16"/>
      <c r="D19" s="17"/>
      <c r="E19" s="17"/>
    </row>
    <row r="20" spans="1:5" x14ac:dyDescent="0.25">
      <c r="A20" s="16"/>
      <c r="B20" s="15"/>
      <c r="C20" s="15"/>
      <c r="D20" s="17"/>
      <c r="E20" s="17"/>
    </row>
    <row r="21" spans="1:5" x14ac:dyDescent="0.25">
      <c r="A21" s="15"/>
      <c r="B21" s="15"/>
      <c r="C21" s="15"/>
      <c r="D21" s="17"/>
      <c r="E21" s="17"/>
    </row>
    <row r="22" spans="1:5" x14ac:dyDescent="0.25">
      <c r="A22" s="15"/>
      <c r="B22" s="15"/>
      <c r="C22" s="15"/>
      <c r="D22" s="17"/>
      <c r="E22" s="17"/>
    </row>
    <row r="23" spans="1:5" x14ac:dyDescent="0.25">
      <c r="A23" s="15"/>
      <c r="B23" s="15"/>
      <c r="C23" s="15"/>
      <c r="D23" s="17"/>
      <c r="E23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12"/>
  <sheetViews>
    <sheetView workbookViewId="0">
      <selection activeCell="C3" sqref="C3"/>
    </sheetView>
  </sheetViews>
  <sheetFormatPr defaultRowHeight="15" x14ac:dyDescent="0.25"/>
  <cols>
    <col min="1" max="1" width="16.85546875" bestFit="1" customWidth="1"/>
    <col min="2" max="2" width="16.85546875" style="19" customWidth="1"/>
    <col min="3" max="3" width="13.5703125" bestFit="1" customWidth="1"/>
    <col min="4" max="4" width="13.5703125" style="22" customWidth="1"/>
    <col min="5" max="5" width="25.85546875" customWidth="1"/>
    <col min="6" max="6" width="12.5703125" bestFit="1" customWidth="1"/>
  </cols>
  <sheetData>
    <row r="2" spans="1:7" x14ac:dyDescent="0.25">
      <c r="A2" s="20" t="s">
        <v>51</v>
      </c>
      <c r="B2" s="20" t="s">
        <v>54</v>
      </c>
      <c r="C2" s="20" t="s">
        <v>52</v>
      </c>
      <c r="D2" s="23" t="s">
        <v>55</v>
      </c>
      <c r="E2" s="20" t="s">
        <v>53</v>
      </c>
      <c r="F2" s="20" t="s">
        <v>31</v>
      </c>
    </row>
    <row r="3" spans="1:7" x14ac:dyDescent="0.25">
      <c r="A3" s="27" t="s">
        <v>5</v>
      </c>
      <c r="B3" s="33" t="s">
        <v>56</v>
      </c>
      <c r="C3" s="24">
        <v>46042</v>
      </c>
      <c r="D3" s="25">
        <v>11</v>
      </c>
      <c r="E3" s="21">
        <v>337500</v>
      </c>
      <c r="F3" s="26">
        <v>1</v>
      </c>
    </row>
    <row r="4" spans="1:7" x14ac:dyDescent="0.25">
      <c r="A4" s="27" t="s">
        <v>6</v>
      </c>
      <c r="B4" s="33" t="s">
        <v>56</v>
      </c>
      <c r="C4" s="24">
        <v>46042</v>
      </c>
      <c r="D4" s="25">
        <v>12</v>
      </c>
      <c r="E4" s="21">
        <v>675000</v>
      </c>
      <c r="F4" s="26">
        <v>1</v>
      </c>
      <c r="G4" s="28"/>
    </row>
    <row r="5" spans="1:7" x14ac:dyDescent="0.25">
      <c r="A5" s="27" t="s">
        <v>7</v>
      </c>
      <c r="B5" s="33" t="s">
        <v>56</v>
      </c>
      <c r="C5" s="24">
        <v>46042</v>
      </c>
      <c r="D5" s="25">
        <v>13</v>
      </c>
      <c r="E5" s="21">
        <v>840000</v>
      </c>
      <c r="F5" s="26">
        <v>1</v>
      </c>
      <c r="G5" s="28"/>
    </row>
    <row r="6" spans="1:7" x14ac:dyDescent="0.25">
      <c r="A6" s="27" t="s">
        <v>8</v>
      </c>
      <c r="B6" s="33" t="s">
        <v>56</v>
      </c>
      <c r="C6" s="24">
        <v>46042</v>
      </c>
      <c r="D6" s="25">
        <v>14</v>
      </c>
      <c r="E6" s="21">
        <v>300000</v>
      </c>
      <c r="F6" s="26">
        <v>1</v>
      </c>
      <c r="G6" s="28"/>
    </row>
    <row r="7" spans="1:7" x14ac:dyDescent="0.25">
      <c r="A7" s="27" t="s">
        <v>9</v>
      </c>
      <c r="B7" s="33" t="s">
        <v>56</v>
      </c>
      <c r="C7" s="24">
        <v>46042</v>
      </c>
      <c r="D7" s="25">
        <v>15</v>
      </c>
      <c r="E7" s="21">
        <v>375000</v>
      </c>
      <c r="F7" s="26">
        <v>1</v>
      </c>
      <c r="G7" s="28"/>
    </row>
    <row r="8" spans="1:7" x14ac:dyDescent="0.25">
      <c r="A8" s="27" t="s">
        <v>10</v>
      </c>
      <c r="B8" s="33" t="s">
        <v>56</v>
      </c>
      <c r="C8" s="24">
        <v>46042</v>
      </c>
      <c r="D8" s="25">
        <v>17</v>
      </c>
      <c r="E8" s="21">
        <v>1462500</v>
      </c>
      <c r="F8" s="26">
        <v>1</v>
      </c>
      <c r="G8" s="28"/>
    </row>
    <row r="9" spans="1:7" x14ac:dyDescent="0.25">
      <c r="A9" s="27" t="s">
        <v>11</v>
      </c>
      <c r="B9" s="33" t="s">
        <v>56</v>
      </c>
      <c r="C9" s="24">
        <v>46042</v>
      </c>
      <c r="D9" s="25">
        <v>18</v>
      </c>
      <c r="E9" s="21">
        <v>510000</v>
      </c>
      <c r="F9" s="26">
        <v>1</v>
      </c>
      <c r="G9" s="28"/>
    </row>
    <row r="10" spans="1:7" x14ac:dyDescent="0.25">
      <c r="A10" s="27" t="s">
        <v>12</v>
      </c>
      <c r="B10" s="33" t="s">
        <v>56</v>
      </c>
      <c r="C10" s="24">
        <v>46042</v>
      </c>
      <c r="D10" s="25">
        <v>19</v>
      </c>
      <c r="E10" s="21">
        <v>645000</v>
      </c>
      <c r="F10" s="26">
        <v>1</v>
      </c>
      <c r="G10" s="28"/>
    </row>
    <row r="11" spans="1:7" x14ac:dyDescent="0.25">
      <c r="A11" s="27" t="s">
        <v>13</v>
      </c>
      <c r="B11" s="33" t="s">
        <v>56</v>
      </c>
      <c r="C11" s="24">
        <v>46042</v>
      </c>
      <c r="D11" s="25">
        <v>20</v>
      </c>
      <c r="E11" s="21">
        <v>450000</v>
      </c>
      <c r="F11" s="26">
        <v>1</v>
      </c>
      <c r="G11" s="28"/>
    </row>
    <row r="12" spans="1:7" x14ac:dyDescent="0.25">
      <c r="A12" s="27" t="s">
        <v>14</v>
      </c>
      <c r="B12" s="33" t="s">
        <v>56</v>
      </c>
      <c r="C12" s="24">
        <v>46042</v>
      </c>
      <c r="D12" s="25">
        <v>22</v>
      </c>
      <c r="E12" s="21">
        <v>1125000</v>
      </c>
      <c r="F12" s="26">
        <v>1</v>
      </c>
      <c r="G12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Контракты</vt:lpstr>
      <vt:lpstr>Этапы</vt:lpstr>
      <vt:lpstr>Доп соглашения</vt:lpstr>
      <vt:lpstr>Акты выполненных работ </vt:lpstr>
      <vt:lpstr>Оплата работ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Е. Колеватых</dc:creator>
  <cp:lastModifiedBy>Иван Колеватых</cp:lastModifiedBy>
  <dcterms:created xsi:type="dcterms:W3CDTF">2026-06-23T06:57:31Z</dcterms:created>
  <dcterms:modified xsi:type="dcterms:W3CDTF">2026-07-02T07:22:13Z</dcterms:modified>
</cp:coreProperties>
</file>